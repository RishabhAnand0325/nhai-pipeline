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i Road" sheetId="1" r:id="rId5"/>
    <sheet state="hidden" name="Nhai" sheetId="2" r:id="rId6"/>
    <sheet state="visible" name="Assam" sheetId="3" r:id="rId7"/>
    <sheet state="visible" name="Bihar" sheetId="4" r:id="rId8"/>
    <sheet state="visible" name="Jharkhand" sheetId="5" r:id="rId9"/>
    <sheet state="visible" name="Meghalaya" sheetId="6" r:id="rId10"/>
    <sheet state="visible" name="Odisha" sheetId="7" r:id="rId11"/>
    <sheet state="visible" name="Uttar Pradesh" sheetId="8" r:id="rId12"/>
    <sheet state="visible" name="West Bengal" sheetId="9" r:id="rId13"/>
  </sheets>
  <definedNames/>
  <calcPr/>
</workbook>
</file>

<file path=xl/sharedStrings.xml><?xml version="1.0" encoding="utf-8"?>
<sst xmlns="http://schemas.openxmlformats.org/spreadsheetml/2006/main" count="3156" uniqueCount="528">
  <si>
    <t>CorrigendumII</t>
  </si>
  <si>
    <t>Automation approach</t>
  </si>
  <si>
    <t>Manual approach</t>
  </si>
  <si>
    <t>Sr. No</t>
  </si>
  <si>
    <t>NH_number</t>
  </si>
  <si>
    <t>Stretch_Name</t>
  </si>
  <si>
    <t>No. of Lane(s)</t>
  </si>
  <si>
    <t>State</t>
  </si>
  <si>
    <t>Length (km)</t>
  </si>
  <si>
    <t>start_lat</t>
  </si>
  <si>
    <t>start_lon</t>
  </si>
  <si>
    <t>end_lat</t>
  </si>
  <si>
    <t>end_lon</t>
  </si>
  <si>
    <t>Length(KM) as per Google earth search</t>
  </si>
  <si>
    <t>New_NH_number</t>
  </si>
  <si>
    <t>initial coordinates</t>
  </si>
  <si>
    <t>final coordinates</t>
  </si>
  <si>
    <t>Length (km) Length as per Google earth search</t>
  </si>
  <si>
    <t>NH-31</t>
  </si>
  <si>
    <t>4 of Bijni - Assam / WB Border from km. 60.0 to km. 30.00 of NH-31 C (AS-11)</t>
  </si>
  <si>
    <t>Assam</t>
  </si>
  <si>
    <t>NH-31C</t>
  </si>
  <si>
    <t>NH-27</t>
  </si>
  <si>
    <t>26.478208, 90.696928</t>
  </si>
  <si>
    <t>26.563247, 90.070298</t>
  </si>
  <si>
    <t>4 of Bijni - Assam/WB Border section of NH-31C from km. 93.00 to km. 60.00 (Contract Pkg- EW-II (AS-10))</t>
  </si>
  <si>
    <t>26.478134, 90.696874</t>
  </si>
  <si>
    <t>26.552516, 90.342964</t>
  </si>
  <si>
    <t>Nalbari-Bijni(AS-08) from km.1013 to km.983 of Old NH-31</t>
  </si>
  <si>
    <t>26.451516, 91.415321</t>
  </si>
  <si>
    <t>26.479930, 90.701843</t>
  </si>
  <si>
    <t>Nalbari-Bijni(AS-09) from 983.00 km to 961.50 km of Old NH-31</t>
  </si>
  <si>
    <t>26.4440185,91.4364386</t>
  </si>
  <si>
    <t>26.4777736,90.6970888</t>
  </si>
  <si>
    <t>Nalbari to Bijni section of NH-31 from km. 1040.30 to Km. 1013.00 (Contract Package EW-II/ AS-07) in Assam</t>
  </si>
  <si>
    <t>26.465025, 91.069275</t>
  </si>
  <si>
    <t>26.478158, 90.696918</t>
  </si>
  <si>
    <t>6L flyover at Boragaon, Gorchuk, Lokhra &amp; Basistha Junction on Guwahati Bypass section from Km 146.172 to Km 162.620 of NH-27</t>
  </si>
  <si>
    <t>26.144847, 91.677045</t>
  </si>
  <si>
    <t>26.110997, 91.772556</t>
  </si>
  <si>
    <t>NH-28</t>
  </si>
  <si>
    <t>Overlaying/maintenance work of Gopalganj-Muzaffarpur from km 402.00 to km. 440.00 of NH-28</t>
  </si>
  <si>
    <t>Bihar</t>
  </si>
  <si>
    <t>26.412154, 84.556132</t>
  </si>
  <si>
    <t>26.511799, 84.837961</t>
  </si>
  <si>
    <t>Kotwa (Motihari) - Mehsi - Muzaffarpur</t>
  </si>
  <si>
    <t>26.609648,84.901163</t>
  </si>
  <si>
    <t>26.148255,85.33161</t>
  </si>
  <si>
    <t>Kotwa (Motihari) - Mehsi - Muzaffarpur from km. 440.000 to km. 520.000 of NH-27 (Old NH-28) under TOT Bundle-3</t>
  </si>
  <si>
    <t>NH-57</t>
  </si>
  <si>
    <t>Muzaffarpur-Darbhanga-Purnea Section from km. 0.00 to km. 148.55 &amp; km.159.357 to km. 287.86 of NH-57 (Old) (OMT Pkg No. 20)</t>
  </si>
  <si>
    <t>26.1196889,85.2949500</t>
  </si>
  <si>
    <t>25.7770694,87.4748444</t>
  </si>
  <si>
    <t>Ara - Mohania (Pkg-I)</t>
  </si>
  <si>
    <t>NH-319</t>
  </si>
  <si>
    <t>25.5320083,84.6430583</t>
  </si>
  <si>
    <t>25.1671222,83.6148806</t>
  </si>
  <si>
    <t>NH-84</t>
  </si>
  <si>
    <t>Bhojpur Buxar section of NH-84 from km.27.37 to km. 75.00</t>
  </si>
  <si>
    <t>NH-922</t>
  </si>
  <si>
    <t>25.467448,84.5174041</t>
  </si>
  <si>
    <t>25.5647565,83.9775336</t>
  </si>
  <si>
    <t>2 laning with PS of Muzaffarpur-Barauni</t>
  </si>
  <si>
    <t>NH-122</t>
  </si>
  <si>
    <t>25.431454,86.028375</t>
  </si>
  <si>
    <t>NH-82</t>
  </si>
  <si>
    <t>2L PS of Biharsharif - Barbigha - Mokama from km. 94.478 to km. 149.053 of NH-82</t>
  </si>
  <si>
    <t>NH-33</t>
  </si>
  <si>
    <t>25.1951796,85.5138313</t>
  </si>
  <si>
    <t>25.4001604,85.9096191</t>
  </si>
  <si>
    <t>2L PS of Khagaria - Purnea from km. 270.00 to km. 410.00 of NH-31</t>
  </si>
  <si>
    <t>25.5044888,86.3740989</t>
  </si>
  <si>
    <t>25.7789172,87.4423478</t>
  </si>
  <si>
    <t>NH-80</t>
  </si>
  <si>
    <t>2L of Mokama-Munger from km. 1.43 to km. 70.00 of NH-80</t>
  </si>
  <si>
    <t>25.3983902,85.8918255</t>
  </si>
  <si>
    <t>25.3707992,86.4680417</t>
  </si>
  <si>
    <t>4 Lane Bridge Across River Kosi including Approaches km 155 - km 165 of NH-57 (BR-5)</t>
  </si>
  <si>
    <t>26.2911717,86.6396195</t>
  </si>
  <si>
    <t>26.2781667,86.7066778</t>
  </si>
  <si>
    <t>NH-131A</t>
  </si>
  <si>
    <t>4L from km. 34.600 to km. 79.970 &amp; 2LPS from km. 79.970 to km. 82.000 of Narenpur - Purnea Section of NH-131A</t>
  </si>
  <si>
    <t>25.7771701,87.3675023</t>
  </si>
  <si>
    <t>25.3873678,87.6180321</t>
  </si>
  <si>
    <t>NH-327E</t>
  </si>
  <si>
    <t>4L of Bahadurganj Araria section from Km 49.000 to Km 94.000 (Package-II) of NH-327E</t>
  </si>
  <si>
    <t>26.2588229,87.7678497</t>
  </si>
  <si>
    <t>26.13247,87.4504235</t>
  </si>
  <si>
    <t>NH-57A</t>
  </si>
  <si>
    <t>4L of Forbesganj to Jogbani Section from Km. 0.000 to Km. 9.260 (IPC at Jogbani) of NH-57A</t>
  </si>
  <si>
    <t>26.3826081,87.2595903</t>
  </si>
  <si>
    <t>26.2987683,87.2676449</t>
  </si>
  <si>
    <t>4L of Galgalia - Bahadurganj section from Km 0.000 to Km 49.000 (Package-I) of NH327E</t>
  </si>
  <si>
    <t>26.5264015,88.1138719</t>
  </si>
  <si>
    <t>26.2643151,87.8270126</t>
  </si>
  <si>
    <t>NH-77</t>
  </si>
  <si>
    <t>4L of Hajipur-Muzaffarpur Section of the existing NH-77 from Km. 0+000 (Ramashish Chowk) to Km. 46+300 and new bypass starting at Km. 46+300 and connecting NH-28 of E-W Corridor at Km. 515+045</t>
  </si>
  <si>
    <t>25.6924351,85.2045439</t>
  </si>
  <si>
    <t>26.1195734,85.3891494</t>
  </si>
  <si>
    <t>4L of Purnea - Dalkhola Section from Km. 410.700 to Km. 447.000 of Old NH-31</t>
  </si>
  <si>
    <t>25.7771387,87.4704918</t>
  </si>
  <si>
    <t>25.8754112,87.8433196</t>
  </si>
  <si>
    <t>NH-131G</t>
  </si>
  <si>
    <t>6L of Kanhauli - Ramnagar (Patna Ring Road PKG-I) from Km 0.000 to Km 39.160 of SH-78/ new NH-131G</t>
  </si>
  <si>
    <t>25.5822082,84.9178933</t>
  </si>
  <si>
    <t>25.4409157,85.2087957</t>
  </si>
  <si>
    <t>Bakhtiyarpur-Rajauli Pkg-II from km. 54.405 to km.101.630</t>
  </si>
  <si>
    <t>24.6535949,85.50325</t>
  </si>
  <si>
    <t>25.4547437,85.5386069</t>
  </si>
  <si>
    <t>Chhapra - Gopalganj section</t>
  </si>
  <si>
    <t>25.7810644,84.7541043</t>
  </si>
  <si>
    <t>26.4605701,84.4401239</t>
  </si>
  <si>
    <t>Chhapra - Rewaghat - Muzaffarpur from Km 1.300 to Km 74.200 and Km. 1.300 to Km. 7</t>
  </si>
  <si>
    <t>25.7811408,84.7486197</t>
  </si>
  <si>
    <t>NH-333</t>
  </si>
  <si>
    <t>Construction of Approach Road to Rail-cum-Road Bridge across river Ganga at Munger Ghat (NH-333 B)</t>
  </si>
  <si>
    <t>NH-333B</t>
  </si>
  <si>
    <t>25.346506, 86.514884</t>
  </si>
  <si>
    <t>25.461024, 86.441510</t>
  </si>
  <si>
    <t>NH-30</t>
  </si>
  <si>
    <t>Koilwar Bhojpur from km. 137.375 of NH-30 to km. 27.37 of NH-84</t>
  </si>
  <si>
    <t>25.5750295,84.7924636</t>
  </si>
  <si>
    <t>25.5169391,84.5379623</t>
  </si>
  <si>
    <t>Muzaffarpur - Sonbarsa Section of NH-77 from km 2.800 to km 89.000</t>
  </si>
  <si>
    <t>26.1490025,85.3903704</t>
  </si>
  <si>
    <t>25.7034103,86.7017371</t>
  </si>
  <si>
    <t>Patna Bakhtiyarpur section of NH-30 from km. 181.300 to km. 231.950</t>
  </si>
  <si>
    <t>25.5849947,85.1340644</t>
  </si>
  <si>
    <t>25.4497823,85.5357337</t>
  </si>
  <si>
    <t>Simaria (Km. 206.050) to Khagaria (Km. 266.282)</t>
  </si>
  <si>
    <t>25.3867348,86.0086233</t>
  </si>
  <si>
    <t>25.5042817,86.4803732</t>
  </si>
  <si>
    <t>Strengthening of UP border - Devapur - Kotwa from Km 360.915 to Km 440.00 of NH-27</t>
  </si>
  <si>
    <t>26.4482855,83.9136657</t>
  </si>
  <si>
    <t>26.5143366,84.8392343</t>
  </si>
  <si>
    <t>NH-2</t>
  </si>
  <si>
    <t>6 of Gorhar to Khairatunda Section of NH-2 from Km. 320.810 to Km.360.300 (Pkg I)</t>
  </si>
  <si>
    <t>Jharkhand</t>
  </si>
  <si>
    <t>NH-19 (AH-1)</t>
  </si>
  <si>
    <t>24.1107607,85.7363569</t>
  </si>
  <si>
    <t>23.9552597,86.0717688</t>
  </si>
  <si>
    <t>Khairatunda to Barwa Adda Section of NH 2 from km. 360.300 to km. 400.132 (Pkg II)</t>
  </si>
  <si>
    <t>23.966031,86.0553038</t>
  </si>
  <si>
    <t>23.8535654,86.4204404</t>
  </si>
  <si>
    <t>NH-23</t>
  </si>
  <si>
    <t>4 of Piska More (Km. 2.90) to Palma (Km. 26.00) of NH-23</t>
  </si>
  <si>
    <t>NH-43</t>
  </si>
  <si>
    <t>23.3819427,85.295549</t>
  </si>
  <si>
    <t>23.3169777,85.0986867</t>
  </si>
  <si>
    <t>4 of Mahulia (km 277.500) to Baharagora (km 333.500) of NH-33 and Baharagora (km 199.200) to Chichira (km. 183.587) of NH-06</t>
  </si>
  <si>
    <t>NH-18 To NH -49</t>
  </si>
  <si>
    <t>22.6485235,86.4143833</t>
  </si>
  <si>
    <t>22.3063219,86.8855479</t>
  </si>
  <si>
    <t>Balance work of Ranchi-Mahulia Section of NH-33 from Km 140.000 (Rampur) to Km 217.300 (Chowka) (Pkg-II)</t>
  </si>
  <si>
    <t>23.2812007,85.4130703</t>
  </si>
  <si>
    <t>22.9638994,85.9592452</t>
  </si>
  <si>
    <t>Balance work of Ranchi-Mahulia Section of NH-33 from Km 217.300 (Chowka) to Km 233.350 (Saharbeda) (pkg-III)</t>
  </si>
  <si>
    <t>NH-43 To NH -18</t>
  </si>
  <si>
    <t>22.9617838,85.9684318</t>
  </si>
  <si>
    <t>22.8890108,86.125972</t>
  </si>
  <si>
    <t>Balance work of Ranchi-Mahulia Section of NH-33 from Km 233.350 (Saharbeda) to Km 277.568 (Mahulia) (Package -IV)</t>
  </si>
  <si>
    <t>NH -18</t>
  </si>
  <si>
    <t>22.6519963,86.4120851</t>
  </si>
  <si>
    <t>NH-75</t>
  </si>
  <si>
    <t>Bijupara (Km. 34.00) to Kuru (Km. 55.00) of NH-75 in Jharkhand</t>
  </si>
  <si>
    <t>NH-39</t>
  </si>
  <si>
    <t>23.4816064,85.0224521</t>
  </si>
  <si>
    <t>23.5418912,84.8186924</t>
  </si>
  <si>
    <t>4 of Kutchery Chowk - Piska More - Bijupara from Km. 0.00 - Km. 34.00 of NH-75</t>
  </si>
  <si>
    <t>23.4809624,85.0263192</t>
  </si>
  <si>
    <t>Barhi (Km 0.000) to Hazaribagh (40.500) of NH-33 in Jharkhand</t>
  </si>
  <si>
    <t>NH-20</t>
  </si>
  <si>
    <t>24.305479,85.4156876</t>
  </si>
  <si>
    <t>23.9924861,85.3634355</t>
  </si>
  <si>
    <t>4 of Hazaribagh-Ranchi stretch of NH33 from Km 40.5 to Km114 including Kujju bypass</t>
  </si>
  <si>
    <t>24.0136459,85.3396866</t>
  </si>
  <si>
    <t>23.4452499,85.4298055</t>
  </si>
  <si>
    <t>4L from km 196.87 (Sankha) to km 219.6 (Khajuri) on NH-75 [Rehla / Garhwa Bypass]</t>
  </si>
  <si>
    <t>24.2148802,83.9267704</t>
  </si>
  <si>
    <t>24.1425121,83.779596</t>
  </si>
  <si>
    <t>NH-32</t>
  </si>
  <si>
    <t>4L/2L PS of Govindpur (Raiganj) - Chas - WB border section of from km. 0.00 to km. 56.889 of Old NH-32</t>
  </si>
  <si>
    <t>NH-18 To NH -19</t>
  </si>
  <si>
    <t>23.8325982,86.519919</t>
  </si>
  <si>
    <t>23.6393939,86.1731772</t>
  </si>
  <si>
    <t>Balance work of Ranchi-Mahulia Section of NH-33 from Km 113.730 (Vikas) to Km 140.000 (Rampur) (Pkg-I)</t>
  </si>
  <si>
    <t>23.2985902,85.2446365</t>
  </si>
  <si>
    <t>23.2813988,85.4147909</t>
  </si>
  <si>
    <t>NH-98</t>
  </si>
  <si>
    <t>Hariharganj to Parwa Mode section from km 23.284 to km 57.049 of NH-98</t>
  </si>
  <si>
    <t>NH-139</t>
  </si>
  <si>
    <t>24.5449546,84.279464</t>
  </si>
  <si>
    <t>24.1766389,84.0549193</t>
  </si>
  <si>
    <t>NH-40</t>
  </si>
  <si>
    <t>4 of Jorabat Shillong (Barapani) section from 0.000 to km 61.800 of Old NH-40</t>
  </si>
  <si>
    <t>Meghalaya</t>
  </si>
  <si>
    <t>NH-6</t>
  </si>
  <si>
    <t>26.0993463,91.8762333</t>
  </si>
  <si>
    <t>25.5909727,91.8746907</t>
  </si>
  <si>
    <t>2L of Shillong Bypass from km. 61.80 of Old NH-40 to km. 34.85 of Old NH-44</t>
  </si>
  <si>
    <t>25.6746376,91.9019052</t>
  </si>
  <si>
    <t>25.5521196,92.050791</t>
  </si>
  <si>
    <t>6 of Chandikhole (km 62.000) to Bhadrak (km136.500)</t>
  </si>
  <si>
    <t>Odisha</t>
  </si>
  <si>
    <t>NH-16</t>
  </si>
  <si>
    <t>20.7099617,86.0984316</t>
  </si>
  <si>
    <t>21.0573959,86.4961925</t>
  </si>
  <si>
    <t>CG/OD Border - Baragarh - Sambalpur from km. 0.00 to km. 88.00</t>
  </si>
  <si>
    <t>NH-53(AH-46)</t>
  </si>
  <si>
    <t>21.3078252,83.2622298</t>
  </si>
  <si>
    <t>21.4638481,83.9784461</t>
  </si>
  <si>
    <t>Binjhabahal - Telebani from km. 414.000 to km. 491.71</t>
  </si>
  <si>
    <t>NH-49</t>
  </si>
  <si>
    <t>21.438635,85.296261</t>
  </si>
  <si>
    <t>21.5453962,84.6027591</t>
  </si>
  <si>
    <t>Singhara - Binjhabahal from km. 310.806 to km. 414.982</t>
  </si>
  <si>
    <t>21.4944914,85.4755286</t>
  </si>
  <si>
    <t>21.1191808,86.3243949</t>
  </si>
  <si>
    <t>Baharagora (199.606 Km) to Singhara (310.806 Km) of NH-6</t>
  </si>
  <si>
    <t>NH-49(AH46)</t>
  </si>
  <si>
    <t>22.277917,86.7246248</t>
  </si>
  <si>
    <t>NH-5</t>
  </si>
  <si>
    <t>Balasore - Baripada - Jharpokharia - section of NH-5 (km 0.00 to km 80.6)</t>
  </si>
  <si>
    <t>NH-18</t>
  </si>
  <si>
    <t>21.501139,86.9176041</t>
  </si>
  <si>
    <t>22.1822939,86.6463408</t>
  </si>
  <si>
    <t>Balance Work of Puri By Pass Road of Bhubaneswar-Puri Section from km. 56.500 to km. 67.500</t>
  </si>
  <si>
    <t>NH-316</t>
  </si>
  <si>
    <t>20.0730221,85.8321837</t>
  </si>
  <si>
    <t>20.0024271,85.8201757</t>
  </si>
  <si>
    <t>NH-200</t>
  </si>
  <si>
    <t>2L PS of Kanaktora - Jharsuguda from Km 0.0 to Km 68.0 including by-pass at Beipahar at Km. 52.00 of NH-200</t>
  </si>
  <si>
    <t>NH-49 &amp; NH-200</t>
  </si>
  <si>
    <t>21.7818704,83.4812483</t>
  </si>
  <si>
    <t>21.8728886,83.9944092</t>
  </si>
  <si>
    <t>NH-149</t>
  </si>
  <si>
    <t>4 Laning of Talcher to end of Kamakhyanagar Bypass km 8.844 - km 15.725 of NH-149 and km 301.875 - km 335.946 of NH-53 (Pkg-I)</t>
  </si>
  <si>
    <t>20.948174,85.2251396</t>
  </si>
  <si>
    <t>20.9319871,85.5554109</t>
  </si>
  <si>
    <t>4 laning of End of Kamakhyanagar Bypass - Duburi from km. 335.946 to km 388.382 (Pkg-II)</t>
  </si>
  <si>
    <t>20.9308204,85.5621358</t>
  </si>
  <si>
    <t>20.988141, 85.988330</t>
  </si>
  <si>
    <t>6L of Bhubaneswar - Jagatpur - Chandikhole Section of NH-16</t>
  </si>
  <si>
    <t>20.2959848,85.8243122</t>
  </si>
  <si>
    <t>20.709879,86.0969198</t>
  </si>
  <si>
    <t>Birmitrapur - Brahmani Bypass end of NH-23</t>
  </si>
  <si>
    <t>NH-143</t>
  </si>
  <si>
    <t>22.4068023,84.729272</t>
  </si>
  <si>
    <t>22.2492288,84.8802883</t>
  </si>
  <si>
    <t>Brahmani Bypass Rajmunda</t>
  </si>
  <si>
    <t>22.217569, 84.810206</t>
  </si>
  <si>
    <t>21.874516, 84.919588</t>
  </si>
  <si>
    <t>Four Laning of Teleibani - Sambalpur from Km.493.30 to Km.521.30 and Km. 545.176 to Km. 567.40</t>
  </si>
  <si>
    <t>NH-53</t>
  </si>
  <si>
    <t>21.4723871,84.0040552</t>
  </si>
  <si>
    <t>NH-215</t>
  </si>
  <si>
    <t>Koida- Rajamunda (Pkg-II) km 206.00 - km 259.453 of NH 215</t>
  </si>
  <si>
    <t>NH-520</t>
  </si>
  <si>
    <t>21.9020453,85.2453453</t>
  </si>
  <si>
    <t>21.8670003,84.9279466</t>
  </si>
  <si>
    <t>O&amp;M of 4L Bhubneshwar - Puri Section from km. 0.00 to km. 56.500 of NH-316</t>
  </si>
  <si>
    <t>20.3093112,85.8726358</t>
  </si>
  <si>
    <t>19.814056,85.817814</t>
  </si>
  <si>
    <t>Puintola - Icchapuram km 419.60 - km 484.00 under TOT Bundle - 1</t>
  </si>
  <si>
    <t>19.388778,85.0629767</t>
  </si>
  <si>
    <t>19.1127159,84.6826643</t>
  </si>
  <si>
    <t>Puintola to Tangi (km 284.00 to km 355.00) of NH-5 (New NH-16)</t>
  </si>
  <si>
    <t>19.3921279,85.0625094</t>
  </si>
  <si>
    <t>19.9170161,85.3831299</t>
  </si>
  <si>
    <t>Repair and Maintenance of Teleibani - Sambalpur section from Km.521.300 to Km.545.176 of NH-6 (Old NH-6)</t>
  </si>
  <si>
    <t>Rimuli Koida km 163 - km 206 of NH 215</t>
  </si>
  <si>
    <t>21.9558626,85.5704498</t>
  </si>
  <si>
    <t>21.9305003,85.2319201</t>
  </si>
  <si>
    <t>Short Term Improvement and Routine Maintenance of Chandikhole - Paradip from Km.0.000 to Km.76.588 of NH-53 (old NH-5A)</t>
  </si>
  <si>
    <t>NH-5A</t>
  </si>
  <si>
    <t>20.7074796,86.1073525</t>
  </si>
  <si>
    <t>20.3109484,86.6081376</t>
  </si>
  <si>
    <t>Tangi to Bhubaneswar (km 355.0 to km 414.0) of NH-5 (New NH-16)</t>
  </si>
  <si>
    <t>19.9263814,85.3932335</t>
  </si>
  <si>
    <t>20.2955162,85.8229504</t>
  </si>
  <si>
    <t>Agra - Etawah Bypass Section of NH-2 from Km. 199.660 to Km. 323.525 in the State of Uttar Pradesh</t>
  </si>
  <si>
    <t>Uttar Pradesh</t>
  </si>
  <si>
    <t>27.1766702,78.0077768</t>
  </si>
  <si>
    <t>26.7907544,79.0348046</t>
  </si>
  <si>
    <t>NH-19</t>
  </si>
  <si>
    <t>6 of Etawah - Chakeri from km. 323.475 to km. 483.687 of NH-19</t>
  </si>
  <si>
    <t>26.7828759,79.0258199</t>
  </si>
  <si>
    <t>26.3816982,80.4140566</t>
  </si>
  <si>
    <t>Allahabad Bypass (3B) (Packages ABP-I, II, III)</t>
  </si>
  <si>
    <t>25.583689, 81.508603</t>
  </si>
  <si>
    <t>25.366127, 82.164559</t>
  </si>
  <si>
    <t>6 of Handia to Varanasi Section from Km 712.900 to Km 785.544</t>
  </si>
  <si>
    <t>25.3627354,82.1899509</t>
  </si>
  <si>
    <t>25.3176415,82.9737389</t>
  </si>
  <si>
    <t>Varanasi bypass (Ring Road, Phase-I) from Harhua (Km 0.000) to Sandaha (Km 16.550)</t>
  </si>
  <si>
    <t>25.378204,82.9108609</t>
  </si>
  <si>
    <t>25.3742345,83.0481875</t>
  </si>
  <si>
    <t>4 Bypass connecting NH-2 (Rakhauna Village km. 782.546 of NH-2) with NH-56 (Vajidpur Village km. 271.300 of NH-56) of Varanasi Ring Road (Pkg-I, Phase-II) from km. 0.00 to km. 16.400 i/c Interchange Loop at NH-2</t>
  </si>
  <si>
    <t>25.268931, 82.845201</t>
  </si>
  <si>
    <t>25.376607, 82.913941</t>
  </si>
  <si>
    <t>Agra Bypass connecting km 176.8 of NH-2 to km 13.03 of NH-3 (km 0.000 to km 32.800)</t>
  </si>
  <si>
    <t>27.221197, 77.918420</t>
  </si>
  <si>
    <t>27.103873, 77.995972</t>
  </si>
  <si>
    <t>Jhansi - Lalitpur section 1/2 from km. 0.00 to km. 49.70 (Package - NS1/BOT/UP-2)</t>
  </si>
  <si>
    <t>25.3540642,78.538047</t>
  </si>
  <si>
    <t>25.002381,78.4459819</t>
  </si>
  <si>
    <t>Jhansi - Lalitpur section 2/2 from km. 49.70 to km. 99.005 (Package - NS1/BOT/UP-3)</t>
  </si>
  <si>
    <t>25.063165, 78.438619</t>
  </si>
  <si>
    <t>24.690343, 78.434300</t>
  </si>
  <si>
    <t>Jhansi-Orai from Km. 90.300 to Km. 225.713 of NH-27 (OMT-Pkg 12)</t>
  </si>
  <si>
    <r>
      <rPr>
        <rFont val="Calibri, sans-serif"/>
        <color rgb="FF000000"/>
        <sz val="11.0"/>
      </rPr>
      <t>25.4487774,78.5121045</t>
    </r>
  </si>
  <si>
    <r>
      <rPr>
        <rFont val="Calibri, sans-serif"/>
        <color rgb="FF000000"/>
        <sz val="11.0"/>
      </rPr>
      <t>25.9858924,79.4433657</t>
    </r>
  </si>
  <si>
    <t>NH-25</t>
  </si>
  <si>
    <t>4 of Orai - Bhognipur - Barah from km. 220.0 to km. 255.00 of Old NH-25 &amp; from km. 421.20 to km. 449.00 on Old NH-02 (Pkg No. EW-II/BOT-UP)</t>
  </si>
  <si>
    <t>26.018727, 79.526930</t>
  </si>
  <si>
    <t>26.383209, 80.013076</t>
  </si>
  <si>
    <t>Kanpur - Lucknow - Ayodhya OMT-10</t>
  </si>
  <si>
    <t>26.4176406,80.3266438</t>
  </si>
  <si>
    <t>26.7706331,82.1858519</t>
  </si>
  <si>
    <t>4 of Lucknow Ring Road Package-3B from Km.17.600 to MDR-77C and terminating at Km.15.650 of NH-28</t>
  </si>
  <si>
    <t>26.991836, 81.020716</t>
  </si>
  <si>
    <t>26.895391, 81.081603</t>
  </si>
  <si>
    <t>Ayodhya - Gorakhpur Section from km. 137.97 to km. 252.86 of Old NH-28 (Pkg No.1/NHAI/OMT/Pkg-11/2011)</t>
  </si>
  <si>
    <t>26.8049939,82.2181035</t>
  </si>
  <si>
    <t>26.7343378,83.357091</t>
  </si>
  <si>
    <t>NH-29E</t>
  </si>
  <si>
    <t>Four laning of Gorakhpur Bypass from km. 79.670 of NH-29E to km. 251.700 of NH-28</t>
  </si>
  <si>
    <t>Gorakhpur Bypass (Km. 0.000 to Km. 32.27 connecting NH28)</t>
  </si>
  <si>
    <t>26.745045, 83.531371</t>
  </si>
  <si>
    <t>26.746237, 83.251571</t>
  </si>
  <si>
    <t>Gorakhpur - Kasya - UP/Bihar Border OMT-27A</t>
  </si>
  <si>
    <t>26.745224, 83.531565</t>
  </si>
  <si>
    <t>26.9845608,83.1040264</t>
  </si>
  <si>
    <t>Lalganj-Hanumana km 96.80 - km 140.2</t>
  </si>
  <si>
    <t>26.1606432,80.9691297</t>
  </si>
  <si>
    <t>24.7774053,82.0909602</t>
  </si>
  <si>
    <t>Dagamagpur to Lalganj (km 49.1 - km 96.8)</t>
  </si>
  <si>
    <t>25.097064, 82.804860</t>
  </si>
  <si>
    <t>25.029533, 82.387133</t>
  </si>
  <si>
    <t>NH-24</t>
  </si>
  <si>
    <t>4 L of Moradabad - Bareilly section of NH-24 from km 149.25 to km 271.05</t>
  </si>
  <si>
    <t>NH-530 &amp; NH-9</t>
  </si>
  <si>
    <t>28.8394093,78.7716091</t>
  </si>
  <si>
    <t>28.3879811,79.4186288</t>
  </si>
  <si>
    <t>Four Laning of Lucknow-Sitapur from km 488.270 to km 413.200</t>
  </si>
  <si>
    <t>26.8710718,80.9389801</t>
  </si>
  <si>
    <t>27.5679797,80.6788931</t>
  </si>
  <si>
    <t>Ghaziabad - Aligarh</t>
  </si>
  <si>
    <t>28.6533822,77.4717288</t>
  </si>
  <si>
    <t>27.8998844,78.0725076</t>
  </si>
  <si>
    <t>Aligarh-Kanpur (Pkg II) [Bhadwas to Kalyanpur]</t>
  </si>
  <si>
    <t>27.6318969,78.504504</t>
  </si>
  <si>
    <t>26.510822,80.2465684</t>
  </si>
  <si>
    <t>Aligarh-Kanpur (Pkg III) [Kalyanpur - Naviganj]</t>
  </si>
  <si>
    <t>26.5108089,80.2467262</t>
  </si>
  <si>
    <t>27.1906252,79.3841298</t>
  </si>
  <si>
    <t>NH-709</t>
  </si>
  <si>
    <t>4 PS of EPE Cossing to start of Shamli Bypass from Km. 92.20 to Km. 155.025 of existing NH-709-B</t>
  </si>
  <si>
    <t>28.878452, 77.248655</t>
  </si>
  <si>
    <t>29.409497, 77.293646</t>
  </si>
  <si>
    <t>Lucknow - Raibareili</t>
  </si>
  <si>
    <t>26.8466952,80.9442856</t>
  </si>
  <si>
    <t>26.2145807,81.2510844</t>
  </si>
  <si>
    <t>Panipat - Shamli</t>
  </si>
  <si>
    <t>29.3856388,76.968824</t>
  </si>
  <si>
    <t>4 PS of Prayagraj to UP/MP Border section of NH-27 (New NH-30) from Km. 4.285 to Km 45.627</t>
  </si>
  <si>
    <t>25.4683379,81.8543042</t>
  </si>
  <si>
    <t>25.0482772,81.7319582</t>
  </si>
  <si>
    <t>NH-56</t>
  </si>
  <si>
    <t>Lucknow (11.500) to Sultanpur (138.925) of NH-56 in Uttar Pradesh</t>
  </si>
  <si>
    <t>26.8288441,80.9598966</t>
  </si>
  <si>
    <t>26.2563106,82.0605964</t>
  </si>
  <si>
    <t>NH-235</t>
  </si>
  <si>
    <t>Shakarpur (Km 8.800) to Akbarpur (Km 73.512) of NH-235 in Uttar Pradesh (Meerut - Bulandshahar)</t>
  </si>
  <si>
    <t>28.9173704,77.7336268</t>
  </si>
  <si>
    <t>28.4070909,77.8476882</t>
  </si>
  <si>
    <t>Meerut - Muzaffarnagar</t>
  </si>
  <si>
    <t>28.9844563,77.7044642</t>
  </si>
  <si>
    <t>29.4715339,77.6947599</t>
  </si>
  <si>
    <t>Meerut - Muzaffarnagar - Addl. Works (Structures)</t>
  </si>
  <si>
    <t>Varanasi (Km 12.01) to Birnon (Km 84.160) [Varanasi - Gorakpur] (PKG-II)</t>
  </si>
  <si>
    <t>25.3327828,82.9945292</t>
  </si>
  <si>
    <t>25.7131402,83.5417457</t>
  </si>
  <si>
    <t>NH-233</t>
  </si>
  <si>
    <t>Ghaghra Bridge to Varanasi Section of NH-233 (Package-1)</t>
  </si>
  <si>
    <t>26.6094361,82.6384722</t>
  </si>
  <si>
    <t>26.2795222,83.0025778</t>
  </si>
  <si>
    <t>NH-73</t>
  </si>
  <si>
    <t>Gagalheri-Saharanpur-Yamunanagar (UP/ Haryana Border) Section of NH-73</t>
  </si>
  <si>
    <t>29.9758053,77.6604079</t>
  </si>
  <si>
    <t>30.1288825,77.2670972</t>
  </si>
  <si>
    <t>NH-93</t>
  </si>
  <si>
    <t>2L PS of Aligarh - Moradabad section from km 85.650 to km 232.00 of Old NH-93</t>
  </si>
  <si>
    <t>27.916498,78.0724354</t>
  </si>
  <si>
    <t>28.834937,78.779546</t>
  </si>
  <si>
    <t>NH-231</t>
  </si>
  <si>
    <t>2L PS of Raebareilly-Jaunpur from km. 0.00 to km. 166.400 of NH-231</t>
  </si>
  <si>
    <t>26.2144806,81.2525161</t>
  </si>
  <si>
    <t>25.7463029,82.6835535</t>
  </si>
  <si>
    <t>2L PS of of Rudhauli to Basti side approach of Ghaghara Bridge Section from Km. 65.870 to Km. 122.270) of NH 233</t>
  </si>
  <si>
    <t>27.029346,82.8032742</t>
  </si>
  <si>
    <t>26.8139168,82.7627541</t>
  </si>
  <si>
    <t>2L of HR/UP Border - Baghpat - Meerut from km. 0.00 to km. 41.36 &amp; from km. 45.84 to km. 48.26</t>
  </si>
  <si>
    <t>28.9459418,77.2315777</t>
  </si>
  <si>
    <t>28.981818,77.7014625</t>
  </si>
  <si>
    <t>4L Cable-stayed Naini Bridge with Approaches from Km - 1.117 to Km 0.4.293 on Old NH-27 (NH-30)</t>
  </si>
  <si>
    <t>25.4400343,81.861466</t>
  </si>
  <si>
    <t>25.3905713,81.863038</t>
  </si>
  <si>
    <t>NH-709A</t>
  </si>
  <si>
    <t>4L PS of Meerut to after Bridge over River Yamuna, Haryana via Shamli- from km. 0.00 to km. 88.476 of NH-709A</t>
  </si>
  <si>
    <t>28.9844639,77.7062663</t>
  </si>
  <si>
    <t>29.4501295,77.3169768</t>
  </si>
  <si>
    <t>Agra - Aligarh</t>
  </si>
  <si>
    <t>27.8819633,78.0717061</t>
  </si>
  <si>
    <t>27.1766328,78.0063035</t>
  </si>
  <si>
    <t>Aligarh-Kanpur (Pkg I) [Aligarh-Bhadwas]</t>
  </si>
  <si>
    <t>27.8621934,78.1294571</t>
  </si>
  <si>
    <t>NH-232</t>
  </si>
  <si>
    <t>Ambedkar Nagar (Km 0.000) to Raebareilly (Km 155.900) of NH-232 in UP</t>
  </si>
  <si>
    <t>26.3757823,82.6843105</t>
  </si>
  <si>
    <t>26.2211532,81.2557396</t>
  </si>
  <si>
    <t>NH-74</t>
  </si>
  <si>
    <t>Balance Work of 2L PS of Sitarganj-Bareilly from Km. 254.820 to Km. 329.280 section of Old NH-74</t>
  </si>
  <si>
    <t>27.1752556,78.0098167</t>
  </si>
  <si>
    <t>27.8761083,78.1358139</t>
  </si>
  <si>
    <t>Four Laning of Ghaghra Bridge to Varanasi (PKG-II) [Budhanpur Urban section (Km 180.420) to Gossai ki bazaar bypass (Km 240.340)]</t>
  </si>
  <si>
    <t>25.8773639,83.0150333</t>
  </si>
  <si>
    <t>25.3496167,82.9936278</t>
  </si>
  <si>
    <t>Four Laning of Ghaghra Bridge to Varanasi (PKG-III) [Gossai ki bazaar bypass (Km 240.340) to Varanasi (Km 299.350)]</t>
  </si>
  <si>
    <t>Four Laning of Sultanpur to Varanasi (PKG-I) [from Sultanpur (Km 134.700) to Jaunpur (Km 209.230)]</t>
  </si>
  <si>
    <t>26.260473,82.238053</t>
  </si>
  <si>
    <t>25.796706,82.488899</t>
  </si>
  <si>
    <t>Four Laning of Sultanpur to Varanasi (PKG-II) [from Jaunpur (Km 209.230) to Varanasi (Km 272.590)]</t>
  </si>
  <si>
    <t>25.335649,83.007629</t>
  </si>
  <si>
    <t>NH-330A</t>
  </si>
  <si>
    <t>Four Lanning of Jagdishpur-Faizabad Section from km 47.930 to km 107.680 of NH-330A</t>
  </si>
  <si>
    <t>26.457211, 81.626258</t>
  </si>
  <si>
    <t>26.756359, 82.135992</t>
  </si>
  <si>
    <t>Lucknow Ring Road Pkg-2 (Behta Road to Sitapur Road)</t>
  </si>
  <si>
    <t>26.822690, 80.799547</t>
  </si>
  <si>
    <t>26.931060, 80.934762</t>
  </si>
  <si>
    <t>NH-319D</t>
  </si>
  <si>
    <t>Maintenance from Km 21.00 to km 53.170 of Prayagraj Bypass junction - Mungra Badshahpur section of Nh-319D</t>
  </si>
  <si>
    <t>25.491067, 81.997600</t>
  </si>
  <si>
    <t>25.657594, 82.189859</t>
  </si>
  <si>
    <t>NH-119</t>
  </si>
  <si>
    <t>Meerut - Najibabad from km. 11.50 to km. 39.24 &amp; km. 86.59 to km. 112.545 of NH-119 (Pkg-I)</t>
  </si>
  <si>
    <t>28.8767431,77.7293249</t>
  </si>
  <si>
    <t>29.6019847,78.3222973</t>
  </si>
  <si>
    <t>Raebareli (Km. 152.533) to Banda (Km. 285.818) of NH-232 in Uttar Pradesh</t>
  </si>
  <si>
    <t>26.2144921,81.2509358</t>
  </si>
  <si>
    <t>25.4762984,80.3376454</t>
  </si>
  <si>
    <t>Rehabilitation and Up-Gradation of 2L - PS Indo/ Nepal Border to Rudhauli Section from Km. 0.000 to Km. 65.870 of NH-28</t>
  </si>
  <si>
    <t>26.3594755,82.9042095</t>
  </si>
  <si>
    <t>26.8138941,82.7627442</t>
  </si>
  <si>
    <t>Shamli - Muzzafarnagar</t>
  </si>
  <si>
    <t>29.4502836,77.3172472</t>
  </si>
  <si>
    <t>29.4729003,77.7082809</t>
  </si>
  <si>
    <t>Six Laning of Delhi - Agra section from Km.20.500 to Km.200 in the State of Haryana and U.P.</t>
  </si>
  <si>
    <t>28.6153507,77.2499826</t>
  </si>
  <si>
    <t>27.1766589,78.0079871</t>
  </si>
  <si>
    <t>Varanasi Gorakhpur Section from km. 84.160 to 149.540 (PKG III)</t>
  </si>
  <si>
    <t>25.7119195,83.5457955</t>
  </si>
  <si>
    <t>25.8422013,83.0044841</t>
  </si>
  <si>
    <t>Varanasi-Degamapur [km. 15.1 - km. 49.1]</t>
  </si>
  <si>
    <t>25.3176843,82.9720139</t>
  </si>
  <si>
    <t>25.0791027,82.8012435</t>
  </si>
  <si>
    <t>NH-06</t>
  </si>
  <si>
    <t>6 of Dhankuni to Kharagpur from km 17.600 to km 129.000 of Old NH-06</t>
  </si>
  <si>
    <t>West Bengal</t>
  </si>
  <si>
    <t>22.6809396,88.295213</t>
  </si>
  <si>
    <t>22.3451807,87.3046467</t>
  </si>
  <si>
    <t>Four Laning of Balasore to Kharagpur from km. 0.00 to km. 119.30</t>
  </si>
  <si>
    <t>21.5488304,86.9362634</t>
  </si>
  <si>
    <t>22.3451303,87.3046442</t>
  </si>
  <si>
    <t>4 of Palsit-Panagarh</t>
  </si>
  <si>
    <t>23.1966103,87.9997071</t>
  </si>
  <si>
    <t>23.4362867,87.4792276</t>
  </si>
  <si>
    <t>Palsit - Dhankuni (4) km 581.457 to km 646.000 of NH-2</t>
  </si>
  <si>
    <t>22.6809296,88.2967165</t>
  </si>
  <si>
    <t>Dalkhola-Islampur (Pkg-EW/5)</t>
  </si>
  <si>
    <t xml:space="preserve"> NH-27</t>
  </si>
  <si>
    <t>25.8754466,87.8432911</t>
  </si>
  <si>
    <t>26.2553895,88.200754</t>
  </si>
  <si>
    <t>Siliguri-Islampur EW-II (WB-6)</t>
  </si>
  <si>
    <t>26.7316208,88.4054518</t>
  </si>
  <si>
    <t>New NH-31</t>
  </si>
  <si>
    <t>O&amp;M of Dalkhola-Islampur-Sonapur-Ghospukur from Km.447.000 to Km.551.500 (excluding Km.498.780 to Km.507.000)</t>
  </si>
  <si>
    <t>25.888076, 87.823341</t>
  </si>
  <si>
    <t>26.602016, 88.291479</t>
  </si>
  <si>
    <t>Salsalabari-Assam Bengal Border</t>
  </si>
  <si>
    <t>26.4909472,89.5922028</t>
  </si>
  <si>
    <t>26.3123361,89.7520889</t>
  </si>
  <si>
    <t>4 of Chichra - Kharagpur section from Km. 129.600 to Km. 185.150 including rehabilitation of existing 4 lane from km. 134.40 to Km.129.60 of Old NH-6</t>
  </si>
  <si>
    <t>22.3262785,86.8813819</t>
  </si>
  <si>
    <t>22.3373812,87.2581709</t>
  </si>
  <si>
    <t>Kolaghat-Haldia from km. 0.00 to km. 53.72 including ROB cum Flyover from km. 52.08 to km. 53.472</t>
  </si>
  <si>
    <t>NH-116</t>
  </si>
  <si>
    <t>22.435225,87.8603802</t>
  </si>
  <si>
    <t>22.0627685,88.0830669</t>
  </si>
  <si>
    <t>NH-34</t>
  </si>
  <si>
    <t>Farakka (295.000) to Raiganj (395.000) of NH-34 in the state of West Bengal</t>
  </si>
  <si>
    <t>NH 12</t>
  </si>
  <si>
    <t>24.779766,87.91646</t>
  </si>
  <si>
    <t>25.6328194,88.131673</t>
  </si>
  <si>
    <t>Balance Work for Raiganj Dalkola section from km 398.00 to km 452.700 (excl. Dalkola Bypass)</t>
  </si>
  <si>
    <t>25.6328682,88.1316081</t>
  </si>
  <si>
    <t>25.8753779,87.8416802</t>
  </si>
  <si>
    <t>Berhampore (191.700) to Farakka (292.300) of NH-34 in the State of West Bengal</t>
  </si>
  <si>
    <t>24.0982432,88.2682785</t>
  </si>
  <si>
    <t>24.7802354,87.9147233</t>
  </si>
  <si>
    <t>NH-31D</t>
  </si>
  <si>
    <t>Ghoshpukur (km 0.000) to Dhupguri (km 83.785) of NH-31D</t>
  </si>
  <si>
    <t>26.5927653,88.2877837</t>
  </si>
  <si>
    <t>26.5821703,89.0049157</t>
  </si>
  <si>
    <t>Islampur Bypass of NH-31 (New NH-27) of 10.31 km length in the state of West Bengal</t>
  </si>
  <si>
    <t>26.2346611,88.1549194</t>
  </si>
  <si>
    <t>26.2808333,88.2200944</t>
  </si>
  <si>
    <t>Krishnagar - Berhampore section from km 115.00 to km 193.00 of NH-34</t>
  </si>
  <si>
    <t>23.4018339,88.4988035</t>
  </si>
  <si>
    <t>24.0982195,88.2681628</t>
  </si>
  <si>
    <t>Short term Improvement and Routine Maintenance from Km.228.000 to Km.254.500 of Salsalabari to Assam Bengal Border section of NH-31C (New NH-27)</t>
  </si>
  <si>
    <t>26.4907014,89.3504999</t>
  </si>
  <si>
    <t>26.3122365,89.7519577</t>
  </si>
  <si>
    <r>
      <rPr>
        <rFont val="Calibri, sans-serif"/>
        <color rgb="FF000000"/>
        <sz val="11.0"/>
      </rPr>
      <t>25.4487774,78.5121045</t>
    </r>
  </si>
  <si>
    <r>
      <rPr>
        <rFont val="Calibri, sans-serif"/>
        <color rgb="FF000000"/>
        <sz val="11.0"/>
      </rPr>
      <t>25.9858924,79.4433657</t>
    </r>
  </si>
  <si>
    <r>
      <rPr>
        <rFont val="Calibri, sans-serif"/>
        <color rgb="FF000000"/>
        <sz val="11.0"/>
      </rPr>
      <t>25.4487774,78.5121045</t>
    </r>
  </si>
  <si>
    <r>
      <rPr>
        <rFont val="Calibri, sans-serif"/>
        <color rgb="FF000000"/>
        <sz val="11.0"/>
      </rPr>
      <t>25.9858924,79.4433657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</si>
</sst>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&quot;Times New Roman&quot;"/>
    </font>
    <font>
      <sz val="11.0"/>
      <color rgb="FF000000"/>
      <name val="&quot;Times New Roman&quot;"/>
    </font>
    <font>
      <sz val="11.0"/>
      <color rgb="FF000000"/>
      <name val="&quot;Google Sans Text&quot;"/>
    </font>
    <font>
      <sz val="11.0"/>
      <color theme="1"/>
      <name val="Calibri"/>
    </font>
    <font>
      <color theme="1"/>
      <name val="Arial"/>
    </font>
    <font>
      <u/>
      <sz val="14.0"/>
      <color rgb="FF007B8B"/>
      <name val="&quot;Google Sans&quot;"/>
    </font>
    <font>
      <sz val="9.0"/>
      <color rgb="FF007B8B"/>
      <name val="&quot;Google Sans&quot;"/>
    </font>
    <font>
      <sz val="9.0"/>
      <color rgb="FF000000"/>
      <name val="&quot;Google Sans&quot;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sz val="14.0"/>
      <color rgb="FF007B8B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textRotation="0" vertical="center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4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0" fillId="3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4" fontId="5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vertical="bottom"/>
    </xf>
    <xf borderId="0" fillId="4" fontId="2" numFmtId="0" xfId="0" applyAlignment="1" applyFont="1">
      <alignment horizontal="center"/>
    </xf>
    <xf borderId="0" fillId="5" fontId="3" numFmtId="0" xfId="0" applyAlignment="1" applyFill="1" applyFont="1">
      <alignment horizontal="center" readingOrder="0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2" fontId="7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4" fontId="8" numFmtId="0" xfId="0" applyAlignment="1" applyFont="1">
      <alignment horizontal="center" vertical="bottom"/>
    </xf>
    <xf borderId="0" fillId="4" fontId="8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 shrinkToFit="0" vertical="bottom" wrapText="0"/>
    </xf>
    <xf borderId="0" fillId="5" fontId="7" numFmtId="0" xfId="0" applyAlignment="1" applyFont="1">
      <alignment horizontal="center" readingOrder="0" vertical="bottom"/>
    </xf>
    <xf borderId="0" fillId="6" fontId="7" numFmtId="0" xfId="0" applyAlignment="1" applyFill="1" applyFont="1">
      <alignment horizontal="center" readingOrder="0" vertical="bottom"/>
    </xf>
    <xf borderId="0" fillId="6" fontId="8" numFmtId="0" xfId="0" applyAlignment="1" applyFont="1">
      <alignment horizontal="center" vertical="bottom"/>
    </xf>
    <xf borderId="0" fillId="3" fontId="9" numFmtId="0" xfId="0" applyAlignment="1" applyFont="1">
      <alignment horizontal="center" vertical="bottom"/>
    </xf>
    <xf borderId="0" fillId="4" fontId="3" numFmtId="0" xfId="0" applyAlignment="1" applyFont="1">
      <alignment horizontal="center" readingOrder="0" shrinkToFit="0" vertical="bottom" wrapText="0"/>
    </xf>
    <xf borderId="0" fillId="6" fontId="3" numFmtId="0" xfId="0" applyAlignment="1" applyFont="1">
      <alignment horizontal="center" readingOrder="0" shrinkToFit="0" vertical="bottom" wrapText="0"/>
    </xf>
    <xf borderId="0" fillId="6" fontId="3" numFmtId="0" xfId="0" applyAlignment="1" applyFont="1">
      <alignment horizontal="center" shrinkToFit="0" vertical="bottom" wrapText="0"/>
    </xf>
    <xf borderId="0" fillId="4" fontId="10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4" fontId="1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3" fontId="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4" fontId="7" numFmtId="0" xfId="0" applyAlignment="1" applyFont="1">
      <alignment readingOrder="0" shrinkToFit="0" vertical="bottom" wrapText="0"/>
    </xf>
    <xf borderId="0" fillId="4" fontId="8" numFmtId="0" xfId="0" applyAlignment="1" applyFont="1">
      <alignment readingOrder="0" vertical="bottom"/>
    </xf>
    <xf borderId="0" fillId="6" fontId="8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3" fontId="15" numFmtId="0" xfId="0" applyAlignment="1" applyFont="1">
      <alignment vertical="bottom"/>
    </xf>
    <xf borderId="0" fillId="4" fontId="3" numFmtId="0" xfId="0" applyAlignment="1" applyFont="1">
      <alignment readingOrder="0" shrinkToFit="0" vertical="bottom" wrapText="0"/>
    </xf>
    <xf borderId="0" fillId="6" fontId="3" numFmtId="0" xfId="0" applyAlignment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4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0.63"/>
    <col customWidth="1" min="9" max="9" width="19.13"/>
    <col customWidth="1" min="13" max="13" width="35.13"/>
    <col customWidth="1" min="16" max="16" width="16.5"/>
    <col customWidth="1" min="17" max="17" width="34.63"/>
    <col customWidth="1" min="18" max="18" width="23.0"/>
    <col customWidth="1" min="19" max="19" width="41.63"/>
  </cols>
  <sheetData>
    <row r="1">
      <c r="A1" s="1"/>
      <c r="B1" s="1"/>
      <c r="C1" s="2" t="s">
        <v>0</v>
      </c>
      <c r="G1" s="1"/>
      <c r="H1" s="3" t="s">
        <v>1</v>
      </c>
      <c r="N1" s="4"/>
      <c r="O1" s="5" t="s">
        <v>2</v>
      </c>
      <c r="T1" s="4"/>
      <c r="U1" s="4"/>
      <c r="V1" s="4"/>
      <c r="W1" s="4"/>
      <c r="X1" s="4"/>
      <c r="Y1" s="4"/>
      <c r="Z1" s="4"/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4"/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  <c r="T2" s="4"/>
      <c r="U2" s="4"/>
      <c r="V2" s="4"/>
      <c r="W2" s="4"/>
      <c r="X2" s="4"/>
      <c r="Y2" s="4"/>
      <c r="Z2" s="4"/>
    </row>
    <row r="3">
      <c r="A3" s="8">
        <v>1.0</v>
      </c>
      <c r="B3" s="9" t="s">
        <v>18</v>
      </c>
      <c r="C3" s="10" t="s">
        <v>19</v>
      </c>
      <c r="D3" s="10">
        <v>4.0</v>
      </c>
      <c r="E3" s="10" t="s">
        <v>20</v>
      </c>
      <c r="F3" s="10">
        <v>30.0</v>
      </c>
      <c r="G3" s="8"/>
      <c r="H3" s="9" t="s">
        <v>18</v>
      </c>
      <c r="I3" s="9">
        <v>26.616692</v>
      </c>
      <c r="J3" s="9">
        <v>90.723744</v>
      </c>
      <c r="K3" s="9">
        <v>26.130287</v>
      </c>
      <c r="L3" s="9">
        <v>91.797776</v>
      </c>
      <c r="M3" s="9">
        <v>184.0</v>
      </c>
      <c r="N3" s="4"/>
      <c r="O3" s="11" t="s">
        <v>21</v>
      </c>
      <c r="P3" s="11" t="s">
        <v>22</v>
      </c>
      <c r="Q3" s="12" t="s">
        <v>23</v>
      </c>
      <c r="R3" s="12" t="s">
        <v>24</v>
      </c>
      <c r="S3" s="13">
        <v>70.6</v>
      </c>
      <c r="T3" s="4"/>
      <c r="U3" s="4"/>
      <c r="V3" s="4"/>
      <c r="W3" s="4"/>
      <c r="X3" s="4"/>
      <c r="Y3" s="4"/>
      <c r="Z3" s="4"/>
    </row>
    <row r="4">
      <c r="A4" s="8">
        <v>2.0</v>
      </c>
      <c r="B4" s="9" t="s">
        <v>21</v>
      </c>
      <c r="C4" s="10" t="s">
        <v>25</v>
      </c>
      <c r="D4" s="10">
        <v>4.0</v>
      </c>
      <c r="E4" s="10" t="s">
        <v>20</v>
      </c>
      <c r="F4" s="10">
        <v>33.0</v>
      </c>
      <c r="G4" s="8"/>
      <c r="H4" s="9" t="s">
        <v>21</v>
      </c>
      <c r="I4" s="9">
        <v>26.616692</v>
      </c>
      <c r="J4" s="9">
        <v>90.723744</v>
      </c>
      <c r="K4" s="9">
        <v>26.130423</v>
      </c>
      <c r="L4" s="9">
        <v>91.797868</v>
      </c>
      <c r="M4" s="9">
        <v>184.0</v>
      </c>
      <c r="N4" s="4"/>
      <c r="O4" s="11" t="s">
        <v>21</v>
      </c>
      <c r="P4" s="11" t="s">
        <v>22</v>
      </c>
      <c r="Q4" s="12" t="s">
        <v>26</v>
      </c>
      <c r="R4" s="12" t="s">
        <v>27</v>
      </c>
      <c r="S4" s="13">
        <v>39.5</v>
      </c>
      <c r="T4" s="4"/>
      <c r="U4" s="4"/>
      <c r="V4" s="4"/>
      <c r="W4" s="4"/>
      <c r="X4" s="4"/>
      <c r="Y4" s="4"/>
      <c r="Z4" s="4"/>
    </row>
    <row r="5">
      <c r="A5" s="8">
        <v>3.0</v>
      </c>
      <c r="B5" s="9" t="s">
        <v>18</v>
      </c>
      <c r="C5" s="10" t="s">
        <v>28</v>
      </c>
      <c r="D5" s="10">
        <v>4.0</v>
      </c>
      <c r="E5" s="10" t="s">
        <v>20</v>
      </c>
      <c r="F5" s="10">
        <v>30.0</v>
      </c>
      <c r="G5" s="8"/>
      <c r="H5" s="9" t="s">
        <v>18</v>
      </c>
      <c r="I5" s="9">
        <v>26.353363</v>
      </c>
      <c r="J5" s="9">
        <v>91.398366</v>
      </c>
      <c r="K5" s="9">
        <v>27.342642</v>
      </c>
      <c r="L5" s="9">
        <v>95.407409</v>
      </c>
      <c r="M5" s="9">
        <v>514.0</v>
      </c>
      <c r="N5" s="4"/>
      <c r="O5" s="11" t="s">
        <v>18</v>
      </c>
      <c r="P5" s="11" t="s">
        <v>22</v>
      </c>
      <c r="Q5" s="12" t="s">
        <v>29</v>
      </c>
      <c r="R5" s="12" t="s">
        <v>30</v>
      </c>
      <c r="S5" s="13">
        <v>93.0</v>
      </c>
      <c r="T5" s="4"/>
      <c r="U5" s="4"/>
      <c r="V5" s="4"/>
      <c r="W5" s="4"/>
      <c r="X5" s="4"/>
      <c r="Y5" s="4"/>
      <c r="Z5" s="4"/>
    </row>
    <row r="6">
      <c r="A6" s="8">
        <v>4.0</v>
      </c>
      <c r="B6" s="9" t="s">
        <v>18</v>
      </c>
      <c r="C6" s="10" t="s">
        <v>31</v>
      </c>
      <c r="D6" s="10">
        <v>4.0</v>
      </c>
      <c r="E6" s="10" t="s">
        <v>20</v>
      </c>
      <c r="F6" s="10">
        <v>22.0</v>
      </c>
      <c r="G6" s="8"/>
      <c r="H6" s="9" t="s">
        <v>18</v>
      </c>
      <c r="I6" s="9">
        <v>26.353363</v>
      </c>
      <c r="J6" s="9">
        <v>91.398366</v>
      </c>
      <c r="K6" s="9"/>
      <c r="L6" s="9"/>
      <c r="M6" s="9"/>
      <c r="N6" s="4"/>
      <c r="O6" s="11" t="s">
        <v>18</v>
      </c>
      <c r="P6" s="11" t="s">
        <v>22</v>
      </c>
      <c r="Q6" s="12" t="s">
        <v>32</v>
      </c>
      <c r="R6" s="12" t="s">
        <v>33</v>
      </c>
      <c r="S6" s="11">
        <v>92.0</v>
      </c>
      <c r="T6" s="4"/>
      <c r="U6" s="4"/>
      <c r="V6" s="4"/>
      <c r="W6" s="4"/>
      <c r="X6" s="4"/>
      <c r="Y6" s="4"/>
      <c r="Z6" s="4"/>
    </row>
    <row r="7">
      <c r="A7" s="8">
        <v>5.0</v>
      </c>
      <c r="B7" s="9" t="s">
        <v>18</v>
      </c>
      <c r="C7" s="10" t="s">
        <v>34</v>
      </c>
      <c r="D7" s="10">
        <v>4.0</v>
      </c>
      <c r="E7" s="10" t="s">
        <v>20</v>
      </c>
      <c r="F7" s="10">
        <v>27.3</v>
      </c>
      <c r="G7" s="8"/>
      <c r="H7" s="9" t="s">
        <v>18</v>
      </c>
      <c r="I7" s="9">
        <v>26.353363</v>
      </c>
      <c r="J7" s="9">
        <v>91.398366</v>
      </c>
      <c r="K7" s="9">
        <v>27.342642</v>
      </c>
      <c r="L7" s="9">
        <v>95.407409</v>
      </c>
      <c r="M7" s="9">
        <v>517.0</v>
      </c>
      <c r="N7" s="4"/>
      <c r="O7" s="11" t="s">
        <v>18</v>
      </c>
      <c r="P7" s="11" t="s">
        <v>22</v>
      </c>
      <c r="Q7" s="12" t="s">
        <v>35</v>
      </c>
      <c r="R7" s="12" t="s">
        <v>36</v>
      </c>
      <c r="S7" s="13">
        <v>50.1</v>
      </c>
      <c r="T7" s="4"/>
      <c r="U7" s="4"/>
      <c r="V7" s="4"/>
      <c r="W7" s="4"/>
      <c r="X7" s="4"/>
      <c r="Y7" s="4"/>
      <c r="Z7" s="4"/>
    </row>
    <row r="8">
      <c r="A8" s="8">
        <v>6.0</v>
      </c>
      <c r="B8" s="9" t="s">
        <v>22</v>
      </c>
      <c r="C8" s="10" t="s">
        <v>37</v>
      </c>
      <c r="D8" s="10">
        <v>6.0</v>
      </c>
      <c r="E8" s="10" t="s">
        <v>20</v>
      </c>
      <c r="F8" s="10">
        <v>16.448</v>
      </c>
      <c r="G8" s="8"/>
      <c r="H8" s="9" t="s">
        <v>22</v>
      </c>
      <c r="I8" s="9">
        <v>26.11114</v>
      </c>
      <c r="J8" s="9">
        <v>91.68532</v>
      </c>
      <c r="K8" s="9">
        <v>26.094532</v>
      </c>
      <c r="L8" s="9">
        <v>91.785347</v>
      </c>
      <c r="M8" s="9">
        <v>15.9</v>
      </c>
      <c r="N8" s="4"/>
      <c r="O8" s="11" t="s">
        <v>22</v>
      </c>
      <c r="P8" s="11" t="s">
        <v>22</v>
      </c>
      <c r="Q8" s="12" t="s">
        <v>38</v>
      </c>
      <c r="R8" s="12" t="s">
        <v>39</v>
      </c>
      <c r="S8" s="13">
        <v>17.0</v>
      </c>
      <c r="T8" s="4"/>
      <c r="U8" s="4"/>
      <c r="V8" s="4"/>
      <c r="W8" s="4"/>
      <c r="X8" s="4"/>
      <c r="Y8" s="4"/>
      <c r="Z8" s="4"/>
    </row>
    <row r="9">
      <c r="A9" s="8">
        <v>7.0</v>
      </c>
      <c r="B9" s="9" t="s">
        <v>40</v>
      </c>
      <c r="C9" s="10" t="s">
        <v>41</v>
      </c>
      <c r="D9" s="10">
        <v>4.0</v>
      </c>
      <c r="E9" s="10" t="s">
        <v>42</v>
      </c>
      <c r="F9" s="10">
        <v>38.0</v>
      </c>
      <c r="G9" s="4"/>
      <c r="H9" s="9" t="s">
        <v>40</v>
      </c>
      <c r="I9" s="14">
        <v>26.421117</v>
      </c>
      <c r="J9" s="14">
        <v>84.373913</v>
      </c>
      <c r="K9" s="14">
        <v>26.148255</v>
      </c>
      <c r="L9" s="14">
        <v>85.33161</v>
      </c>
      <c r="M9" s="9">
        <v>149.0</v>
      </c>
      <c r="N9" s="15"/>
      <c r="O9" s="11" t="s">
        <v>40</v>
      </c>
      <c r="P9" s="11" t="s">
        <v>22</v>
      </c>
      <c r="Q9" s="12" t="s">
        <v>43</v>
      </c>
      <c r="R9" s="12" t="s">
        <v>44</v>
      </c>
      <c r="S9" s="16">
        <v>44.2</v>
      </c>
      <c r="T9" s="4"/>
      <c r="U9" s="4"/>
      <c r="V9" s="4"/>
      <c r="W9" s="4"/>
      <c r="X9" s="4"/>
      <c r="Y9" s="4"/>
      <c r="Z9" s="4"/>
    </row>
    <row r="10">
      <c r="A10" s="8">
        <v>8.0</v>
      </c>
      <c r="B10" s="14"/>
      <c r="C10" s="10" t="s">
        <v>45</v>
      </c>
      <c r="D10" s="10">
        <v>4.0</v>
      </c>
      <c r="E10" s="10" t="s">
        <v>42</v>
      </c>
      <c r="F10" s="10">
        <v>80.0</v>
      </c>
      <c r="G10" s="4"/>
      <c r="H10" s="14"/>
      <c r="I10" s="14">
        <v>26.609648</v>
      </c>
      <c r="J10" s="14">
        <v>84.901163</v>
      </c>
      <c r="K10" s="14">
        <v>26.148255</v>
      </c>
      <c r="L10" s="14">
        <v>85.33161</v>
      </c>
      <c r="M10" s="9">
        <v>83.0</v>
      </c>
      <c r="N10" s="15"/>
      <c r="O10" s="17"/>
      <c r="P10" s="11" t="s">
        <v>22</v>
      </c>
      <c r="Q10" s="12" t="s">
        <v>46</v>
      </c>
      <c r="R10" s="12" t="s">
        <v>47</v>
      </c>
      <c r="S10" s="18">
        <v>83.0</v>
      </c>
      <c r="T10" s="4"/>
      <c r="U10" s="4"/>
      <c r="V10" s="4"/>
      <c r="W10" s="4"/>
      <c r="X10" s="4"/>
      <c r="Y10" s="4"/>
      <c r="Z10" s="4"/>
    </row>
    <row r="11">
      <c r="A11" s="8">
        <v>9.0</v>
      </c>
      <c r="B11" s="9" t="s">
        <v>22</v>
      </c>
      <c r="C11" s="10" t="s">
        <v>48</v>
      </c>
      <c r="D11" s="10">
        <v>4.0</v>
      </c>
      <c r="E11" s="10" t="s">
        <v>42</v>
      </c>
      <c r="F11" s="10">
        <v>80.0</v>
      </c>
      <c r="G11" s="4"/>
      <c r="H11" s="9" t="s">
        <v>22</v>
      </c>
      <c r="I11" s="14">
        <v>26.609648</v>
      </c>
      <c r="J11" s="14">
        <v>84.901163</v>
      </c>
      <c r="K11" s="14">
        <v>26.148255</v>
      </c>
      <c r="L11" s="14">
        <v>85.33161</v>
      </c>
      <c r="M11" s="9">
        <v>83.0</v>
      </c>
      <c r="N11" s="15"/>
      <c r="O11" s="11" t="s">
        <v>22</v>
      </c>
      <c r="P11" s="11" t="s">
        <v>22</v>
      </c>
      <c r="Q11" s="12" t="s">
        <v>46</v>
      </c>
      <c r="R11" s="12" t="s">
        <v>47</v>
      </c>
      <c r="S11" s="18">
        <v>83.0</v>
      </c>
      <c r="T11" s="4"/>
      <c r="U11" s="4"/>
      <c r="V11" s="4"/>
      <c r="W11" s="4"/>
      <c r="X11" s="4"/>
      <c r="Y11" s="4"/>
      <c r="Z11" s="4"/>
    </row>
    <row r="12">
      <c r="A12" s="8">
        <v>10.0</v>
      </c>
      <c r="B12" s="9" t="s">
        <v>49</v>
      </c>
      <c r="C12" s="10" t="s">
        <v>50</v>
      </c>
      <c r="D12" s="10">
        <v>4.0</v>
      </c>
      <c r="E12" s="10" t="s">
        <v>42</v>
      </c>
      <c r="F12" s="10">
        <v>277.053</v>
      </c>
      <c r="G12" s="4"/>
      <c r="H12" s="9" t="s">
        <v>49</v>
      </c>
      <c r="I12" s="14">
        <v>26.148255</v>
      </c>
      <c r="J12" s="14">
        <v>85.33161</v>
      </c>
      <c r="K12" s="14"/>
      <c r="L12" s="14"/>
      <c r="M12" s="9"/>
      <c r="N12" s="15"/>
      <c r="O12" s="11" t="s">
        <v>49</v>
      </c>
      <c r="P12" s="11" t="s">
        <v>22</v>
      </c>
      <c r="Q12" s="12" t="s">
        <v>51</v>
      </c>
      <c r="R12" s="12" t="s">
        <v>52</v>
      </c>
      <c r="S12" s="18">
        <v>293.0</v>
      </c>
      <c r="T12" s="4"/>
      <c r="U12" s="4"/>
      <c r="V12" s="4"/>
      <c r="W12" s="4"/>
      <c r="X12" s="4"/>
      <c r="Y12" s="4"/>
      <c r="Z12" s="4"/>
    </row>
    <row r="13">
      <c r="A13" s="8">
        <v>11.0</v>
      </c>
      <c r="B13" s="14"/>
      <c r="C13" s="10" t="s">
        <v>53</v>
      </c>
      <c r="D13" s="10">
        <v>4.0</v>
      </c>
      <c r="E13" s="10" t="s">
        <v>42</v>
      </c>
      <c r="F13" s="10">
        <v>54.75</v>
      </c>
      <c r="G13" s="4"/>
      <c r="H13" s="14"/>
      <c r="I13" s="14">
        <v>25.548466</v>
      </c>
      <c r="J13" s="14">
        <v>84.661632</v>
      </c>
      <c r="K13" s="14"/>
      <c r="L13" s="14"/>
      <c r="M13" s="9"/>
      <c r="N13" s="15"/>
      <c r="O13" s="17"/>
      <c r="P13" s="13" t="s">
        <v>54</v>
      </c>
      <c r="Q13" s="12" t="s">
        <v>55</v>
      </c>
      <c r="R13" s="12" t="s">
        <v>56</v>
      </c>
      <c r="S13" s="18">
        <v>118.0</v>
      </c>
      <c r="T13" s="4"/>
      <c r="U13" s="4"/>
      <c r="V13" s="4"/>
      <c r="W13" s="4"/>
      <c r="X13" s="4"/>
      <c r="Y13" s="4"/>
      <c r="Z13" s="4"/>
    </row>
    <row r="14">
      <c r="A14" s="8">
        <v>12.0</v>
      </c>
      <c r="B14" s="9" t="s">
        <v>57</v>
      </c>
      <c r="C14" s="10" t="s">
        <v>58</v>
      </c>
      <c r="D14" s="10">
        <v>4.0</v>
      </c>
      <c r="E14" s="10" t="s">
        <v>42</v>
      </c>
      <c r="F14" s="10">
        <v>47.9</v>
      </c>
      <c r="G14" s="4"/>
      <c r="H14" s="9" t="s">
        <v>57</v>
      </c>
      <c r="I14" s="14">
        <v>25.584032</v>
      </c>
      <c r="J14" s="14">
        <v>84.125913</v>
      </c>
      <c r="K14" s="14"/>
      <c r="L14" s="14"/>
      <c r="M14" s="9"/>
      <c r="N14" s="15"/>
      <c r="O14" s="11" t="s">
        <v>57</v>
      </c>
      <c r="P14" s="13" t="s">
        <v>59</v>
      </c>
      <c r="Q14" s="12" t="s">
        <v>60</v>
      </c>
      <c r="R14" s="12" t="s">
        <v>61</v>
      </c>
      <c r="S14" s="18">
        <v>79.7</v>
      </c>
      <c r="T14" s="4"/>
      <c r="U14" s="4"/>
      <c r="V14" s="4"/>
      <c r="W14" s="4"/>
      <c r="X14" s="4"/>
      <c r="Y14" s="4"/>
      <c r="Z14" s="4"/>
    </row>
    <row r="15">
      <c r="A15" s="8">
        <v>13.0</v>
      </c>
      <c r="B15" s="14"/>
      <c r="C15" s="10" t="s">
        <v>62</v>
      </c>
      <c r="D15" s="10">
        <v>2.0</v>
      </c>
      <c r="E15" s="10" t="s">
        <v>42</v>
      </c>
      <c r="F15" s="10">
        <v>108.0</v>
      </c>
      <c r="G15" s="4"/>
      <c r="H15" s="14"/>
      <c r="I15" s="14">
        <v>26.148255</v>
      </c>
      <c r="J15" s="14">
        <v>85.33161</v>
      </c>
      <c r="K15" s="14">
        <v>25.431454</v>
      </c>
      <c r="L15" s="14">
        <v>86.028375</v>
      </c>
      <c r="M15" s="9">
        <v>115.0</v>
      </c>
      <c r="N15" s="15"/>
      <c r="O15" s="17"/>
      <c r="P15" s="13" t="s">
        <v>63</v>
      </c>
      <c r="Q15" s="12" t="s">
        <v>47</v>
      </c>
      <c r="R15" s="12" t="s">
        <v>64</v>
      </c>
      <c r="S15" s="18">
        <v>115.0</v>
      </c>
      <c r="T15" s="4"/>
      <c r="U15" s="4"/>
      <c r="V15" s="4"/>
      <c r="W15" s="4"/>
      <c r="X15" s="4"/>
      <c r="Y15" s="4"/>
      <c r="Z15" s="4"/>
    </row>
    <row r="16">
      <c r="A16" s="8">
        <v>14.0</v>
      </c>
      <c r="B16" s="9" t="s">
        <v>65</v>
      </c>
      <c r="C16" s="10" t="s">
        <v>66</v>
      </c>
      <c r="D16" s="10">
        <v>2.0</v>
      </c>
      <c r="E16" s="10" t="s">
        <v>42</v>
      </c>
      <c r="F16" s="10">
        <v>54.575</v>
      </c>
      <c r="G16" s="4"/>
      <c r="H16" s="9" t="s">
        <v>65</v>
      </c>
      <c r="I16" s="14">
        <v>25.203512</v>
      </c>
      <c r="J16" s="14">
        <v>85.526091</v>
      </c>
      <c r="K16" s="14">
        <v>25.395805</v>
      </c>
      <c r="L16" s="14">
        <v>85.922064</v>
      </c>
      <c r="M16" s="9"/>
      <c r="N16" s="15"/>
      <c r="O16" s="11" t="s">
        <v>65</v>
      </c>
      <c r="P16" s="11" t="s">
        <v>67</v>
      </c>
      <c r="Q16" s="12" t="s">
        <v>68</v>
      </c>
      <c r="R16" s="12" t="s">
        <v>69</v>
      </c>
      <c r="S16" s="18">
        <v>54.5</v>
      </c>
      <c r="T16" s="4"/>
      <c r="U16" s="4"/>
      <c r="V16" s="4"/>
      <c r="W16" s="4"/>
      <c r="X16" s="4"/>
      <c r="Y16" s="4"/>
      <c r="Z16" s="4"/>
    </row>
    <row r="17">
      <c r="A17" s="8">
        <v>15.0</v>
      </c>
      <c r="B17" s="9" t="s">
        <v>18</v>
      </c>
      <c r="C17" s="10" t="s">
        <v>70</v>
      </c>
      <c r="D17" s="10">
        <v>2.0</v>
      </c>
      <c r="E17" s="10" t="s">
        <v>42</v>
      </c>
      <c r="F17" s="10">
        <v>140.0</v>
      </c>
      <c r="G17" s="4"/>
      <c r="H17" s="9" t="s">
        <v>18</v>
      </c>
      <c r="I17" s="14">
        <v>25.493051</v>
      </c>
      <c r="J17" s="14">
        <v>86.698226</v>
      </c>
      <c r="K17" s="14">
        <v>25.77736</v>
      </c>
      <c r="L17" s="14">
        <v>87.473123</v>
      </c>
      <c r="M17" s="9"/>
      <c r="N17" s="15"/>
      <c r="O17" s="11" t="s">
        <v>18</v>
      </c>
      <c r="P17" s="11" t="s">
        <v>18</v>
      </c>
      <c r="Q17" s="12" t="s">
        <v>71</v>
      </c>
      <c r="R17" s="12" t="s">
        <v>72</v>
      </c>
      <c r="S17" s="18">
        <v>136.0</v>
      </c>
      <c r="T17" s="4"/>
      <c r="U17" s="4"/>
      <c r="V17" s="4"/>
      <c r="W17" s="4"/>
      <c r="X17" s="4"/>
      <c r="Y17" s="4"/>
      <c r="Z17" s="4"/>
    </row>
    <row r="18">
      <c r="A18" s="8">
        <v>16.0</v>
      </c>
      <c r="B18" s="9" t="s">
        <v>73</v>
      </c>
      <c r="C18" s="10" t="s">
        <v>74</v>
      </c>
      <c r="D18" s="10">
        <v>2.0</v>
      </c>
      <c r="E18" s="10" t="s">
        <v>42</v>
      </c>
      <c r="F18" s="10">
        <v>68.57</v>
      </c>
      <c r="G18" s="4"/>
      <c r="H18" s="9" t="s">
        <v>73</v>
      </c>
      <c r="I18" s="14">
        <v>25.395805</v>
      </c>
      <c r="J18" s="14">
        <v>85.922064</v>
      </c>
      <c r="K18" s="14">
        <v>25.220286</v>
      </c>
      <c r="L18" s="14">
        <v>86.516148</v>
      </c>
      <c r="M18" s="9"/>
      <c r="N18" s="15"/>
      <c r="O18" s="11" t="s">
        <v>73</v>
      </c>
      <c r="P18" s="11" t="s">
        <v>67</v>
      </c>
      <c r="Q18" s="12" t="s">
        <v>75</v>
      </c>
      <c r="R18" s="12" t="s">
        <v>76</v>
      </c>
      <c r="S18" s="18">
        <v>82.0</v>
      </c>
      <c r="T18" s="4"/>
      <c r="U18" s="4"/>
      <c r="V18" s="4"/>
      <c r="W18" s="4"/>
      <c r="X18" s="4"/>
      <c r="Y18" s="4"/>
      <c r="Z18" s="4"/>
    </row>
    <row r="19">
      <c r="A19" s="8">
        <v>17.0</v>
      </c>
      <c r="B19" s="9" t="s">
        <v>49</v>
      </c>
      <c r="C19" s="10" t="s">
        <v>77</v>
      </c>
      <c r="D19" s="10">
        <v>4.0</v>
      </c>
      <c r="E19" s="10" t="s">
        <v>42</v>
      </c>
      <c r="F19" s="10">
        <v>10.64</v>
      </c>
      <c r="G19" s="4"/>
      <c r="H19" s="9" t="s">
        <v>49</v>
      </c>
      <c r="I19" s="14"/>
      <c r="J19" s="14"/>
      <c r="K19" s="14"/>
      <c r="L19" s="14"/>
      <c r="M19" s="9"/>
      <c r="N19" s="15"/>
      <c r="O19" s="11" t="s">
        <v>49</v>
      </c>
      <c r="P19" s="13" t="s">
        <v>22</v>
      </c>
      <c r="Q19" s="12" t="s">
        <v>78</v>
      </c>
      <c r="R19" s="12" t="s">
        <v>79</v>
      </c>
      <c r="S19" s="18">
        <v>10.0</v>
      </c>
      <c r="T19" s="4"/>
      <c r="U19" s="4"/>
      <c r="V19" s="4"/>
      <c r="W19" s="4"/>
      <c r="X19" s="4"/>
      <c r="Y19" s="4"/>
      <c r="Z19" s="4"/>
    </row>
    <row r="20">
      <c r="A20" s="8">
        <v>18.0</v>
      </c>
      <c r="B20" s="9" t="s">
        <v>80</v>
      </c>
      <c r="C20" s="10" t="s">
        <v>81</v>
      </c>
      <c r="D20" s="10">
        <v>4.0</v>
      </c>
      <c r="E20" s="10" t="s">
        <v>42</v>
      </c>
      <c r="F20" s="10">
        <v>49.0</v>
      </c>
      <c r="G20" s="4"/>
      <c r="H20" s="9" t="s">
        <v>80</v>
      </c>
      <c r="I20" s="14"/>
      <c r="J20" s="14"/>
      <c r="K20" s="14">
        <v>25.77736</v>
      </c>
      <c r="L20" s="14">
        <v>87.473123</v>
      </c>
      <c r="M20" s="9"/>
      <c r="N20" s="15"/>
      <c r="O20" s="11" t="s">
        <v>80</v>
      </c>
      <c r="P20" s="11" t="s">
        <v>80</v>
      </c>
      <c r="Q20" s="12" t="s">
        <v>82</v>
      </c>
      <c r="R20" s="12" t="s">
        <v>83</v>
      </c>
      <c r="S20" s="18">
        <v>68.0</v>
      </c>
      <c r="T20" s="4"/>
      <c r="U20" s="4"/>
      <c r="V20" s="4"/>
      <c r="W20" s="4"/>
      <c r="X20" s="4"/>
      <c r="Y20" s="4"/>
      <c r="Z20" s="4"/>
    </row>
    <row r="21">
      <c r="A21" s="8">
        <v>19.0</v>
      </c>
      <c r="B21" s="9" t="s">
        <v>84</v>
      </c>
      <c r="C21" s="10" t="s">
        <v>85</v>
      </c>
      <c r="D21" s="10">
        <v>4.0</v>
      </c>
      <c r="E21" s="10" t="s">
        <v>42</v>
      </c>
      <c r="F21" s="10">
        <v>44.995</v>
      </c>
      <c r="G21" s="4"/>
      <c r="H21" s="9" t="s">
        <v>84</v>
      </c>
      <c r="I21" s="14"/>
      <c r="J21" s="14"/>
      <c r="K21" s="14">
        <v>21.674181</v>
      </c>
      <c r="L21" s="14">
        <v>76.38168</v>
      </c>
      <c r="M21" s="9"/>
      <c r="N21" s="19"/>
      <c r="O21" s="11" t="s">
        <v>84</v>
      </c>
      <c r="P21" s="11" t="s">
        <v>84</v>
      </c>
      <c r="Q21" s="12" t="s">
        <v>86</v>
      </c>
      <c r="R21" s="12" t="s">
        <v>87</v>
      </c>
      <c r="S21" s="18">
        <v>54.9</v>
      </c>
      <c r="T21" s="4"/>
      <c r="U21" s="4"/>
      <c r="V21" s="4"/>
      <c r="W21" s="4"/>
      <c r="X21" s="4"/>
      <c r="Y21" s="4"/>
      <c r="Z21" s="4"/>
    </row>
    <row r="22">
      <c r="A22" s="8">
        <v>20.0</v>
      </c>
      <c r="B22" s="9" t="s">
        <v>88</v>
      </c>
      <c r="C22" s="10" t="s">
        <v>89</v>
      </c>
      <c r="D22" s="10">
        <v>4.0</v>
      </c>
      <c r="E22" s="10" t="s">
        <v>42</v>
      </c>
      <c r="F22" s="10">
        <v>9.26</v>
      </c>
      <c r="G22" s="4"/>
      <c r="H22" s="9" t="s">
        <v>88</v>
      </c>
      <c r="I22" s="14">
        <v>26.304911</v>
      </c>
      <c r="J22" s="14">
        <v>87.263285</v>
      </c>
      <c r="K22" s="14"/>
      <c r="L22" s="14"/>
      <c r="M22" s="9"/>
      <c r="N22" s="15"/>
      <c r="O22" s="11" t="s">
        <v>88</v>
      </c>
      <c r="P22" s="11" t="s">
        <v>88</v>
      </c>
      <c r="Q22" s="12" t="s">
        <v>90</v>
      </c>
      <c r="R22" s="12" t="s">
        <v>91</v>
      </c>
      <c r="S22" s="18">
        <v>14.0</v>
      </c>
      <c r="T22" s="4"/>
      <c r="U22" s="4"/>
      <c r="V22" s="4"/>
      <c r="W22" s="4"/>
      <c r="X22" s="4"/>
      <c r="Y22" s="4"/>
      <c r="Z22" s="4"/>
    </row>
    <row r="23">
      <c r="A23" s="8">
        <v>21.0</v>
      </c>
      <c r="B23" s="9" t="s">
        <v>84</v>
      </c>
      <c r="C23" s="10" t="s">
        <v>92</v>
      </c>
      <c r="D23" s="10">
        <v>4.0</v>
      </c>
      <c r="E23" s="10" t="s">
        <v>42</v>
      </c>
      <c r="F23" s="10">
        <v>49.0</v>
      </c>
      <c r="G23" s="4"/>
      <c r="H23" s="9" t="s">
        <v>84</v>
      </c>
      <c r="I23" s="14">
        <v>26.527434</v>
      </c>
      <c r="J23" s="14">
        <v>88.113383</v>
      </c>
      <c r="K23" s="14"/>
      <c r="L23" s="14"/>
      <c r="M23" s="9"/>
      <c r="N23" s="15"/>
      <c r="O23" s="11" t="s">
        <v>84</v>
      </c>
      <c r="P23" s="11" t="s">
        <v>84</v>
      </c>
      <c r="Q23" s="12" t="s">
        <v>93</v>
      </c>
      <c r="R23" s="12" t="s">
        <v>94</v>
      </c>
      <c r="S23" s="18">
        <v>51.5</v>
      </c>
      <c r="T23" s="4"/>
      <c r="U23" s="4"/>
      <c r="V23" s="4"/>
      <c r="W23" s="4"/>
      <c r="X23" s="4"/>
      <c r="Y23" s="4"/>
      <c r="Z23" s="4"/>
    </row>
    <row r="24">
      <c r="A24" s="8">
        <v>22.0</v>
      </c>
      <c r="B24" s="9" t="s">
        <v>95</v>
      </c>
      <c r="C24" s="10" t="s">
        <v>96</v>
      </c>
      <c r="D24" s="10">
        <v>4.0</v>
      </c>
      <c r="E24" s="10" t="s">
        <v>42</v>
      </c>
      <c r="F24" s="10">
        <v>63.17</v>
      </c>
      <c r="G24" s="4"/>
      <c r="H24" s="9" t="s">
        <v>95</v>
      </c>
      <c r="I24" s="14">
        <v>25.69057</v>
      </c>
      <c r="J24" s="14">
        <v>85.209035</v>
      </c>
      <c r="K24" s="14"/>
      <c r="L24" s="14"/>
      <c r="M24" s="9"/>
      <c r="N24" s="15"/>
      <c r="O24" s="11" t="s">
        <v>95</v>
      </c>
      <c r="P24" s="11"/>
      <c r="Q24" s="12" t="s">
        <v>97</v>
      </c>
      <c r="R24" s="12" t="s">
        <v>98</v>
      </c>
      <c r="S24" s="18">
        <v>58.0</v>
      </c>
      <c r="T24" s="4"/>
      <c r="U24" s="4"/>
      <c r="V24" s="4"/>
      <c r="W24" s="4"/>
      <c r="X24" s="4"/>
      <c r="Y24" s="4"/>
      <c r="Z24" s="4"/>
    </row>
    <row r="25">
      <c r="A25" s="8">
        <v>23.0</v>
      </c>
      <c r="B25" s="9" t="s">
        <v>18</v>
      </c>
      <c r="C25" s="10" t="s">
        <v>99</v>
      </c>
      <c r="D25" s="10">
        <v>4.0</v>
      </c>
      <c r="E25" s="10" t="s">
        <v>42</v>
      </c>
      <c r="F25" s="10">
        <v>36.3</v>
      </c>
      <c r="G25" s="4"/>
      <c r="H25" s="9" t="s">
        <v>18</v>
      </c>
      <c r="I25" s="14">
        <v>25.77736</v>
      </c>
      <c r="J25" s="14">
        <v>87.473123</v>
      </c>
      <c r="K25" s="14"/>
      <c r="L25" s="14"/>
      <c r="M25" s="9"/>
      <c r="N25" s="15"/>
      <c r="O25" s="11" t="s">
        <v>18</v>
      </c>
      <c r="P25" s="13" t="s">
        <v>22</v>
      </c>
      <c r="Q25" s="12" t="s">
        <v>100</v>
      </c>
      <c r="R25" s="12" t="s">
        <v>101</v>
      </c>
      <c r="S25" s="18">
        <v>36.0</v>
      </c>
      <c r="T25" s="4"/>
      <c r="U25" s="4"/>
      <c r="V25" s="4"/>
      <c r="W25" s="4"/>
      <c r="X25" s="4"/>
      <c r="Y25" s="4"/>
      <c r="Z25" s="4"/>
    </row>
    <row r="26">
      <c r="A26" s="8">
        <v>24.0</v>
      </c>
      <c r="B26" s="9" t="s">
        <v>102</v>
      </c>
      <c r="C26" s="10" t="s">
        <v>103</v>
      </c>
      <c r="D26" s="10">
        <v>6.0</v>
      </c>
      <c r="E26" s="10" t="s">
        <v>42</v>
      </c>
      <c r="F26" s="10">
        <v>39.16</v>
      </c>
      <c r="G26" s="4"/>
      <c r="H26" s="9" t="s">
        <v>102</v>
      </c>
      <c r="I26" s="14">
        <v>25.994068</v>
      </c>
      <c r="J26" s="14">
        <v>86.158152</v>
      </c>
      <c r="K26" s="14">
        <v>21.674181</v>
      </c>
      <c r="L26" s="14">
        <v>76.38168</v>
      </c>
      <c r="M26" s="9"/>
      <c r="N26" s="15"/>
      <c r="O26" s="11" t="s">
        <v>102</v>
      </c>
      <c r="P26" s="11" t="s">
        <v>102</v>
      </c>
      <c r="Q26" s="12" t="s">
        <v>104</v>
      </c>
      <c r="R26" s="12" t="s">
        <v>105</v>
      </c>
      <c r="S26" s="18">
        <v>43.9</v>
      </c>
      <c r="T26" s="4"/>
      <c r="U26" s="4"/>
      <c r="V26" s="4"/>
      <c r="W26" s="4"/>
      <c r="X26" s="4"/>
      <c r="Y26" s="4"/>
      <c r="Z26" s="4"/>
    </row>
    <row r="27">
      <c r="A27" s="8">
        <v>25.0</v>
      </c>
      <c r="B27" s="14"/>
      <c r="C27" s="10" t="s">
        <v>106</v>
      </c>
      <c r="D27" s="10">
        <v>4.0</v>
      </c>
      <c r="E27" s="10" t="s">
        <v>42</v>
      </c>
      <c r="F27" s="10">
        <v>47.225</v>
      </c>
      <c r="G27" s="4"/>
      <c r="H27" s="14"/>
      <c r="I27" s="14">
        <v>25.458623</v>
      </c>
      <c r="J27" s="14">
        <v>85.536902</v>
      </c>
      <c r="K27" s="14">
        <v>21.674181</v>
      </c>
      <c r="L27" s="14">
        <v>76.38168</v>
      </c>
      <c r="M27" s="9"/>
      <c r="N27" s="15"/>
      <c r="O27" s="17"/>
      <c r="P27" s="20"/>
      <c r="Q27" s="12" t="s">
        <v>107</v>
      </c>
      <c r="R27" s="12" t="s">
        <v>108</v>
      </c>
      <c r="S27" s="18">
        <v>94.5</v>
      </c>
      <c r="T27" s="4"/>
      <c r="U27" s="4"/>
      <c r="V27" s="4"/>
      <c r="W27" s="4"/>
      <c r="X27" s="4"/>
      <c r="Y27" s="4"/>
      <c r="Z27" s="4"/>
    </row>
    <row r="28">
      <c r="A28" s="8">
        <v>26.0</v>
      </c>
      <c r="B28" s="14"/>
      <c r="C28" s="10" t="s">
        <v>109</v>
      </c>
      <c r="D28" s="10">
        <v>2.0</v>
      </c>
      <c r="E28" s="10" t="s">
        <v>42</v>
      </c>
      <c r="F28" s="10">
        <v>94.26</v>
      </c>
      <c r="G28" s="4"/>
      <c r="H28" s="14"/>
      <c r="I28" s="14">
        <v>25.773344</v>
      </c>
      <c r="J28" s="14">
        <v>84.784977</v>
      </c>
      <c r="K28" s="14">
        <v>26.421117</v>
      </c>
      <c r="L28" s="14">
        <v>84.373913</v>
      </c>
      <c r="M28" s="9"/>
      <c r="N28" s="15"/>
      <c r="O28" s="17"/>
      <c r="P28" s="20"/>
      <c r="Q28" s="12" t="s">
        <v>110</v>
      </c>
      <c r="R28" s="12" t="s">
        <v>111</v>
      </c>
      <c r="S28" s="18">
        <v>100.0</v>
      </c>
      <c r="T28" s="4"/>
      <c r="U28" s="4"/>
      <c r="V28" s="4"/>
      <c r="W28" s="4"/>
      <c r="X28" s="4"/>
      <c r="Y28" s="4"/>
      <c r="Z28" s="4"/>
    </row>
    <row r="29">
      <c r="A29" s="8">
        <v>27.0</v>
      </c>
      <c r="B29" s="14"/>
      <c r="C29" s="10" t="s">
        <v>112</v>
      </c>
      <c r="D29" s="10">
        <v>2.0</v>
      </c>
      <c r="E29" s="10" t="s">
        <v>42</v>
      </c>
      <c r="F29" s="10">
        <v>73.07</v>
      </c>
      <c r="G29" s="4"/>
      <c r="H29" s="14"/>
      <c r="I29" s="14">
        <v>25.773344</v>
      </c>
      <c r="J29" s="14">
        <v>84.784977</v>
      </c>
      <c r="K29" s="14">
        <v>26.148255</v>
      </c>
      <c r="L29" s="14">
        <v>85.33161</v>
      </c>
      <c r="M29" s="9"/>
      <c r="N29" s="8"/>
      <c r="O29" s="17"/>
      <c r="P29" s="20"/>
      <c r="Q29" s="11" t="s">
        <v>113</v>
      </c>
      <c r="R29" s="11" t="s">
        <v>98</v>
      </c>
      <c r="S29" s="18">
        <v>81.0</v>
      </c>
      <c r="T29" s="4"/>
      <c r="U29" s="4"/>
      <c r="V29" s="4"/>
      <c r="W29" s="4"/>
      <c r="X29" s="4"/>
      <c r="Y29" s="4"/>
      <c r="Z29" s="4"/>
    </row>
    <row r="30">
      <c r="A30" s="21">
        <v>28.0</v>
      </c>
      <c r="B30" s="9" t="s">
        <v>114</v>
      </c>
      <c r="C30" s="10" t="s">
        <v>115</v>
      </c>
      <c r="D30" s="10">
        <v>2.0</v>
      </c>
      <c r="E30" s="10" t="s">
        <v>42</v>
      </c>
      <c r="F30" s="10">
        <v>14.52</v>
      </c>
      <c r="G30" s="4"/>
      <c r="H30" s="9" t="s">
        <v>114</v>
      </c>
      <c r="I30" s="14">
        <v>21.674181</v>
      </c>
      <c r="J30" s="14">
        <v>76.38168</v>
      </c>
      <c r="K30" s="14"/>
      <c r="L30" s="14"/>
      <c r="M30" s="9"/>
      <c r="N30" s="8"/>
      <c r="O30" s="11" t="s">
        <v>114</v>
      </c>
      <c r="P30" s="11" t="s">
        <v>116</v>
      </c>
      <c r="Q30" s="11" t="s">
        <v>117</v>
      </c>
      <c r="R30" s="11" t="s">
        <v>118</v>
      </c>
      <c r="S30" s="18">
        <v>19.0</v>
      </c>
      <c r="T30" s="4"/>
      <c r="U30" s="4"/>
      <c r="V30" s="4"/>
      <c r="W30" s="4"/>
      <c r="X30" s="4"/>
      <c r="Y30" s="4"/>
      <c r="Z30" s="4"/>
    </row>
    <row r="31">
      <c r="A31" s="21">
        <v>29.0</v>
      </c>
      <c r="B31" s="9" t="s">
        <v>119</v>
      </c>
      <c r="C31" s="10" t="s">
        <v>120</v>
      </c>
      <c r="D31" s="10">
        <v>4.0</v>
      </c>
      <c r="E31" s="10" t="s">
        <v>42</v>
      </c>
      <c r="F31" s="10">
        <v>43.85</v>
      </c>
      <c r="G31" s="4"/>
      <c r="H31" s="9" t="s">
        <v>119</v>
      </c>
      <c r="I31" s="14">
        <v>25.58012</v>
      </c>
      <c r="J31" s="14">
        <v>84.757256</v>
      </c>
      <c r="K31" s="14"/>
      <c r="L31" s="14"/>
      <c r="M31" s="9"/>
      <c r="N31" s="8"/>
      <c r="O31" s="11" t="s">
        <v>119</v>
      </c>
      <c r="P31" s="20"/>
      <c r="Q31" s="11" t="s">
        <v>121</v>
      </c>
      <c r="R31" s="11" t="s">
        <v>122</v>
      </c>
      <c r="S31" s="18">
        <v>30.0</v>
      </c>
      <c r="T31" s="4"/>
      <c r="U31" s="4"/>
      <c r="V31" s="4"/>
      <c r="W31" s="4"/>
      <c r="X31" s="4"/>
      <c r="Y31" s="4"/>
      <c r="Z31" s="4"/>
    </row>
    <row r="32">
      <c r="A32" s="21">
        <v>30.0</v>
      </c>
      <c r="B32" s="9" t="s">
        <v>95</v>
      </c>
      <c r="C32" s="10" t="s">
        <v>123</v>
      </c>
      <c r="D32" s="10">
        <v>2.0</v>
      </c>
      <c r="E32" s="10" t="s">
        <v>42</v>
      </c>
      <c r="F32" s="10">
        <v>82.08</v>
      </c>
      <c r="G32" s="4"/>
      <c r="H32" s="9" t="s">
        <v>95</v>
      </c>
      <c r="I32" s="14">
        <v>26.148255</v>
      </c>
      <c r="J32" s="14">
        <v>85.33161</v>
      </c>
      <c r="K32" s="14">
        <v>25.701332</v>
      </c>
      <c r="L32" s="14">
        <v>86.779366</v>
      </c>
      <c r="M32" s="9"/>
      <c r="N32" s="8"/>
      <c r="O32" s="11" t="s">
        <v>95</v>
      </c>
      <c r="P32" s="20"/>
      <c r="Q32" s="11" t="s">
        <v>124</v>
      </c>
      <c r="R32" s="11" t="s">
        <v>125</v>
      </c>
      <c r="S32" s="18">
        <v>179.0</v>
      </c>
      <c r="T32" s="4"/>
      <c r="U32" s="4"/>
      <c r="V32" s="4"/>
      <c r="W32" s="4"/>
      <c r="X32" s="4"/>
      <c r="Y32" s="4"/>
      <c r="Z32" s="4"/>
    </row>
    <row r="33">
      <c r="A33" s="21">
        <v>31.0</v>
      </c>
      <c r="B33" s="9" t="s">
        <v>119</v>
      </c>
      <c r="C33" s="10" t="s">
        <v>126</v>
      </c>
      <c r="D33" s="10">
        <v>4.0</v>
      </c>
      <c r="E33" s="10" t="s">
        <v>42</v>
      </c>
      <c r="F33" s="10">
        <v>50.45</v>
      </c>
      <c r="G33" s="4"/>
      <c r="H33" s="9" t="s">
        <v>119</v>
      </c>
      <c r="I33" s="14"/>
      <c r="J33" s="14"/>
      <c r="K33" s="14"/>
      <c r="L33" s="14"/>
      <c r="M33" s="9"/>
      <c r="N33" s="8"/>
      <c r="O33" s="11" t="s">
        <v>119</v>
      </c>
      <c r="P33" s="20"/>
      <c r="Q33" s="11" t="s">
        <v>127</v>
      </c>
      <c r="R33" s="11" t="s">
        <v>128</v>
      </c>
      <c r="S33" s="18">
        <v>49.0</v>
      </c>
      <c r="T33" s="4"/>
      <c r="U33" s="4"/>
      <c r="V33" s="4"/>
      <c r="W33" s="4"/>
      <c r="X33" s="4"/>
      <c r="Y33" s="4"/>
      <c r="Z33" s="4"/>
    </row>
    <row r="34">
      <c r="A34" s="21">
        <v>32.0</v>
      </c>
      <c r="B34" s="14"/>
      <c r="C34" s="10" t="s">
        <v>129</v>
      </c>
      <c r="D34" s="10">
        <v>4.0</v>
      </c>
      <c r="E34" s="10" t="s">
        <v>42</v>
      </c>
      <c r="F34" s="10">
        <v>60.23</v>
      </c>
      <c r="G34" s="4"/>
      <c r="H34" s="14"/>
      <c r="I34" s="14">
        <v>25.410723</v>
      </c>
      <c r="J34" s="14">
        <v>86.013734</v>
      </c>
      <c r="K34" s="14">
        <v>25.493051</v>
      </c>
      <c r="L34" s="14">
        <v>86.698226</v>
      </c>
      <c r="M34" s="9"/>
      <c r="N34" s="8"/>
      <c r="O34" s="17"/>
      <c r="P34" s="20"/>
      <c r="Q34" s="11" t="s">
        <v>130</v>
      </c>
      <c r="R34" s="11" t="s">
        <v>131</v>
      </c>
      <c r="S34" s="18">
        <v>60.0</v>
      </c>
      <c r="T34" s="4"/>
      <c r="U34" s="4"/>
      <c r="V34" s="4"/>
      <c r="W34" s="4"/>
      <c r="X34" s="4"/>
      <c r="Y34" s="4"/>
      <c r="Z34" s="4"/>
    </row>
    <row r="35">
      <c r="A35" s="21">
        <v>33.0</v>
      </c>
      <c r="B35" s="9" t="s">
        <v>22</v>
      </c>
      <c r="C35" s="10" t="s">
        <v>132</v>
      </c>
      <c r="D35" s="10">
        <v>4.0</v>
      </c>
      <c r="E35" s="10" t="s">
        <v>42</v>
      </c>
      <c r="F35" s="10">
        <v>79.085</v>
      </c>
      <c r="G35" s="4"/>
      <c r="H35" s="9" t="s">
        <v>22</v>
      </c>
      <c r="I35" s="14"/>
      <c r="J35" s="14"/>
      <c r="K35" s="14">
        <v>26.503818</v>
      </c>
      <c r="L35" s="14">
        <v>84.852181</v>
      </c>
      <c r="M35" s="9"/>
      <c r="N35" s="8"/>
      <c r="O35" s="11" t="s">
        <v>22</v>
      </c>
      <c r="P35" s="11" t="s">
        <v>22</v>
      </c>
      <c r="Q35" s="11" t="s">
        <v>133</v>
      </c>
      <c r="R35" s="11" t="s">
        <v>134</v>
      </c>
      <c r="S35" s="18">
        <v>123.0</v>
      </c>
      <c r="T35" s="4"/>
      <c r="U35" s="4"/>
      <c r="V35" s="4"/>
      <c r="W35" s="4"/>
      <c r="X35" s="4"/>
      <c r="Y35" s="4"/>
      <c r="Z35" s="4"/>
    </row>
    <row r="36">
      <c r="A36" s="21">
        <v>34.0</v>
      </c>
      <c r="B36" s="9" t="s">
        <v>135</v>
      </c>
      <c r="C36" s="10" t="s">
        <v>136</v>
      </c>
      <c r="D36" s="10">
        <v>6.0</v>
      </c>
      <c r="E36" s="10" t="s">
        <v>137</v>
      </c>
      <c r="F36" s="10">
        <v>40.19</v>
      </c>
      <c r="G36" s="1"/>
      <c r="H36" s="9" t="s">
        <v>135</v>
      </c>
      <c r="I36" s="14"/>
      <c r="J36" s="14"/>
      <c r="K36" s="14"/>
      <c r="L36" s="14"/>
      <c r="M36" s="9">
        <v>50.0</v>
      </c>
      <c r="N36" s="8"/>
      <c r="O36" s="11" t="s">
        <v>135</v>
      </c>
      <c r="P36" s="11" t="s">
        <v>138</v>
      </c>
      <c r="Q36" s="11" t="s">
        <v>139</v>
      </c>
      <c r="R36" s="11" t="s">
        <v>140</v>
      </c>
      <c r="S36" s="11">
        <v>50.0</v>
      </c>
      <c r="T36" s="4"/>
      <c r="U36" s="4"/>
      <c r="V36" s="4"/>
      <c r="W36" s="4"/>
      <c r="X36" s="4"/>
      <c r="Y36" s="4"/>
      <c r="Z36" s="4"/>
    </row>
    <row r="37">
      <c r="A37" s="8">
        <v>35.0</v>
      </c>
      <c r="B37" s="9" t="s">
        <v>135</v>
      </c>
      <c r="C37" s="10" t="s">
        <v>141</v>
      </c>
      <c r="D37" s="10">
        <v>6.0</v>
      </c>
      <c r="E37" s="10" t="s">
        <v>137</v>
      </c>
      <c r="F37" s="10">
        <v>40.33</v>
      </c>
      <c r="G37" s="1"/>
      <c r="H37" s="9" t="s">
        <v>135</v>
      </c>
      <c r="I37" s="14"/>
      <c r="J37" s="14"/>
      <c r="K37" s="14"/>
      <c r="L37" s="14"/>
      <c r="M37" s="9">
        <v>44.0</v>
      </c>
      <c r="N37" s="8"/>
      <c r="O37" s="11" t="s">
        <v>135</v>
      </c>
      <c r="P37" s="11" t="s">
        <v>138</v>
      </c>
      <c r="Q37" s="11" t="s">
        <v>142</v>
      </c>
      <c r="R37" s="11" t="s">
        <v>143</v>
      </c>
      <c r="S37" s="11">
        <v>44.0</v>
      </c>
      <c r="T37" s="4"/>
      <c r="U37" s="4"/>
      <c r="V37" s="4"/>
      <c r="W37" s="4"/>
      <c r="X37" s="4"/>
      <c r="Y37" s="4"/>
      <c r="Z37" s="4"/>
    </row>
    <row r="38">
      <c r="A38" s="8">
        <v>36.0</v>
      </c>
      <c r="B38" s="9" t="s">
        <v>144</v>
      </c>
      <c r="C38" s="10" t="s">
        <v>145</v>
      </c>
      <c r="D38" s="10">
        <v>4.0</v>
      </c>
      <c r="E38" s="10" t="s">
        <v>137</v>
      </c>
      <c r="F38" s="10">
        <v>22.4</v>
      </c>
      <c r="G38" s="1"/>
      <c r="H38" s="9" t="s">
        <v>144</v>
      </c>
      <c r="I38" s="9">
        <v>23.377482</v>
      </c>
      <c r="J38" s="9">
        <v>85.312652</v>
      </c>
      <c r="K38" s="9">
        <v>25.23784</v>
      </c>
      <c r="L38" s="9">
        <v>87.605024</v>
      </c>
      <c r="M38" s="9">
        <v>23.0</v>
      </c>
      <c r="N38" s="8"/>
      <c r="O38" s="11" t="s">
        <v>144</v>
      </c>
      <c r="P38" s="11" t="s">
        <v>146</v>
      </c>
      <c r="Q38" s="11" t="s">
        <v>147</v>
      </c>
      <c r="R38" s="11" t="s">
        <v>148</v>
      </c>
      <c r="S38" s="11">
        <v>23.0</v>
      </c>
      <c r="T38" s="4"/>
      <c r="U38" s="4"/>
      <c r="V38" s="4"/>
      <c r="W38" s="4"/>
      <c r="X38" s="4"/>
      <c r="Y38" s="4"/>
      <c r="Z38" s="4"/>
    </row>
    <row r="39">
      <c r="A39" s="8">
        <v>37.0</v>
      </c>
      <c r="B39" s="9" t="s">
        <v>67</v>
      </c>
      <c r="C39" s="10" t="s">
        <v>149</v>
      </c>
      <c r="D39" s="10">
        <v>4.0</v>
      </c>
      <c r="E39" s="10" t="s">
        <v>137</v>
      </c>
      <c r="F39" s="10">
        <v>71.61</v>
      </c>
      <c r="G39" s="1"/>
      <c r="H39" s="9" t="s">
        <v>67</v>
      </c>
      <c r="I39" s="9">
        <v>22.649467</v>
      </c>
      <c r="J39" s="9">
        <v>86.414548</v>
      </c>
      <c r="K39" s="14"/>
      <c r="L39" s="14"/>
      <c r="M39" s="9">
        <v>73.0</v>
      </c>
      <c r="N39" s="8"/>
      <c r="O39" s="11" t="s">
        <v>67</v>
      </c>
      <c r="P39" s="11" t="s">
        <v>150</v>
      </c>
      <c r="Q39" s="11" t="s">
        <v>151</v>
      </c>
      <c r="R39" s="11" t="s">
        <v>152</v>
      </c>
      <c r="S39" s="11">
        <v>73.0</v>
      </c>
      <c r="T39" s="4"/>
      <c r="U39" s="4"/>
      <c r="V39" s="4"/>
      <c r="W39" s="4"/>
      <c r="X39" s="4"/>
      <c r="Y39" s="4"/>
      <c r="Z39" s="4"/>
    </row>
    <row r="40">
      <c r="A40" s="8">
        <v>38.0</v>
      </c>
      <c r="B40" s="9" t="s">
        <v>67</v>
      </c>
      <c r="C40" s="10" t="s">
        <v>153</v>
      </c>
      <c r="D40" s="10">
        <v>4.0</v>
      </c>
      <c r="E40" s="10" t="s">
        <v>137</v>
      </c>
      <c r="F40" s="10">
        <v>77.3</v>
      </c>
      <c r="G40" s="1"/>
      <c r="H40" s="9" t="s">
        <v>67</v>
      </c>
      <c r="I40" s="9">
        <v>23.37005</v>
      </c>
      <c r="J40" s="9">
        <v>85.325039</v>
      </c>
      <c r="K40" s="9">
        <v>22.962123</v>
      </c>
      <c r="L40" s="9">
        <v>85.507914</v>
      </c>
      <c r="M40" s="9">
        <v>77.0</v>
      </c>
      <c r="N40" s="8"/>
      <c r="O40" s="11" t="s">
        <v>67</v>
      </c>
      <c r="P40" s="11" t="s">
        <v>146</v>
      </c>
      <c r="Q40" s="11" t="s">
        <v>154</v>
      </c>
      <c r="R40" s="11" t="s">
        <v>155</v>
      </c>
      <c r="S40" s="11">
        <v>77.0</v>
      </c>
      <c r="T40" s="4"/>
      <c r="U40" s="4"/>
      <c r="V40" s="4"/>
      <c r="W40" s="4"/>
      <c r="X40" s="4"/>
      <c r="Y40" s="4"/>
      <c r="Z40" s="4"/>
    </row>
    <row r="41">
      <c r="A41" s="8">
        <v>39.0</v>
      </c>
      <c r="B41" s="9" t="s">
        <v>67</v>
      </c>
      <c r="C41" s="10" t="s">
        <v>156</v>
      </c>
      <c r="D41" s="10">
        <v>4.0</v>
      </c>
      <c r="E41" s="10" t="s">
        <v>137</v>
      </c>
      <c r="F41" s="10">
        <v>16.05</v>
      </c>
      <c r="G41" s="1"/>
      <c r="H41" s="9" t="s">
        <v>67</v>
      </c>
      <c r="I41" s="9">
        <v>23.37005</v>
      </c>
      <c r="J41" s="9">
        <v>85.325039</v>
      </c>
      <c r="K41" s="9">
        <v>23.663075</v>
      </c>
      <c r="L41" s="9">
        <v>86.122148</v>
      </c>
      <c r="M41" s="9">
        <v>20.0</v>
      </c>
      <c r="N41" s="8"/>
      <c r="O41" s="11" t="s">
        <v>67</v>
      </c>
      <c r="P41" s="11" t="s">
        <v>157</v>
      </c>
      <c r="Q41" s="11" t="s">
        <v>158</v>
      </c>
      <c r="R41" s="11" t="s">
        <v>159</v>
      </c>
      <c r="S41" s="11">
        <v>20.0</v>
      </c>
      <c r="T41" s="4"/>
      <c r="U41" s="4"/>
      <c r="V41" s="4"/>
      <c r="W41" s="4"/>
      <c r="X41" s="4"/>
      <c r="Y41" s="4"/>
      <c r="Z41" s="4"/>
    </row>
    <row r="42">
      <c r="A42" s="8">
        <v>40.0</v>
      </c>
      <c r="B42" s="9" t="s">
        <v>67</v>
      </c>
      <c r="C42" s="10" t="s">
        <v>160</v>
      </c>
      <c r="D42" s="10">
        <v>4.0</v>
      </c>
      <c r="E42" s="10" t="s">
        <v>137</v>
      </c>
      <c r="F42" s="10">
        <v>44.22</v>
      </c>
      <c r="G42" s="1"/>
      <c r="H42" s="9" t="s">
        <v>67</v>
      </c>
      <c r="I42" s="9">
        <v>23.37005</v>
      </c>
      <c r="J42" s="9">
        <v>85.325039</v>
      </c>
      <c r="K42" s="9">
        <v>23.798128</v>
      </c>
      <c r="L42" s="9">
        <v>86.282731</v>
      </c>
      <c r="M42" s="9">
        <v>44.0</v>
      </c>
      <c r="N42" s="8"/>
      <c r="O42" s="11" t="s">
        <v>67</v>
      </c>
      <c r="P42" s="11" t="s">
        <v>161</v>
      </c>
      <c r="Q42" s="11" t="s">
        <v>159</v>
      </c>
      <c r="R42" s="11" t="s">
        <v>162</v>
      </c>
      <c r="S42" s="11">
        <v>44.0</v>
      </c>
      <c r="T42" s="4"/>
      <c r="U42" s="4"/>
      <c r="V42" s="4"/>
      <c r="W42" s="4"/>
      <c r="X42" s="4"/>
      <c r="Y42" s="4"/>
      <c r="Z42" s="4"/>
    </row>
    <row r="43">
      <c r="A43" s="8">
        <v>41.0</v>
      </c>
      <c r="B43" s="9" t="s">
        <v>163</v>
      </c>
      <c r="C43" s="10" t="s">
        <v>164</v>
      </c>
      <c r="D43" s="10">
        <v>4.0</v>
      </c>
      <c r="E43" s="10" t="s">
        <v>137</v>
      </c>
      <c r="F43" s="10">
        <v>21.0</v>
      </c>
      <c r="G43" s="1"/>
      <c r="H43" s="9" t="s">
        <v>163</v>
      </c>
      <c r="I43" s="14"/>
      <c r="J43" s="14"/>
      <c r="K43" s="9">
        <v>23.547889</v>
      </c>
      <c r="L43" s="9">
        <v>84.756259</v>
      </c>
      <c r="M43" s="9">
        <v>23.0</v>
      </c>
      <c r="N43" s="8"/>
      <c r="O43" s="11" t="s">
        <v>163</v>
      </c>
      <c r="P43" s="11" t="s">
        <v>165</v>
      </c>
      <c r="Q43" s="11" t="s">
        <v>166</v>
      </c>
      <c r="R43" s="11" t="s">
        <v>167</v>
      </c>
      <c r="S43" s="11">
        <v>23.0</v>
      </c>
      <c r="T43" s="4"/>
      <c r="U43" s="4"/>
      <c r="V43" s="4"/>
      <c r="W43" s="4"/>
      <c r="X43" s="4"/>
      <c r="Y43" s="4"/>
      <c r="Z43" s="4"/>
    </row>
    <row r="44">
      <c r="A44" s="8">
        <v>42.0</v>
      </c>
      <c r="B44" s="9" t="s">
        <v>163</v>
      </c>
      <c r="C44" s="10" t="s">
        <v>168</v>
      </c>
      <c r="D44" s="10">
        <v>4.0</v>
      </c>
      <c r="E44" s="10" t="s">
        <v>137</v>
      </c>
      <c r="F44" s="10">
        <v>34.0</v>
      </c>
      <c r="G44" s="1"/>
      <c r="H44" s="9" t="s">
        <v>163</v>
      </c>
      <c r="I44" s="9">
        <v>23.378912</v>
      </c>
      <c r="J44" s="9">
        <v>85.325192</v>
      </c>
      <c r="K44" s="14"/>
      <c r="L44" s="14"/>
      <c r="M44" s="9">
        <v>23.0</v>
      </c>
      <c r="N44" s="8"/>
      <c r="O44" s="11" t="s">
        <v>163</v>
      </c>
      <c r="P44" s="11" t="s">
        <v>165</v>
      </c>
      <c r="Q44" s="11" t="s">
        <v>167</v>
      </c>
      <c r="R44" s="11" t="s">
        <v>169</v>
      </c>
      <c r="S44" s="11">
        <v>23.0</v>
      </c>
      <c r="T44" s="4"/>
      <c r="U44" s="4"/>
      <c r="V44" s="4"/>
      <c r="W44" s="4"/>
      <c r="X44" s="4"/>
      <c r="Y44" s="4"/>
      <c r="Z44" s="4"/>
    </row>
    <row r="45">
      <c r="A45" s="8">
        <v>43.0</v>
      </c>
      <c r="B45" s="9" t="s">
        <v>67</v>
      </c>
      <c r="C45" s="10" t="s">
        <v>170</v>
      </c>
      <c r="D45" s="10">
        <v>4.0</v>
      </c>
      <c r="E45" s="10" t="s">
        <v>137</v>
      </c>
      <c r="F45" s="10">
        <v>41.28</v>
      </c>
      <c r="G45" s="1"/>
      <c r="H45" s="9" t="s">
        <v>67</v>
      </c>
      <c r="I45" s="9">
        <v>24.264703</v>
      </c>
      <c r="J45" s="9">
        <v>85.474672</v>
      </c>
      <c r="K45" s="9">
        <v>23.992435</v>
      </c>
      <c r="L45" s="9">
        <v>85.361625</v>
      </c>
      <c r="M45" s="9">
        <v>37.4</v>
      </c>
      <c r="N45" s="8"/>
      <c r="O45" s="11" t="s">
        <v>67</v>
      </c>
      <c r="P45" s="11" t="s">
        <v>171</v>
      </c>
      <c r="Q45" s="11" t="s">
        <v>172</v>
      </c>
      <c r="R45" s="11" t="s">
        <v>173</v>
      </c>
      <c r="S45" s="11">
        <v>37.4</v>
      </c>
      <c r="T45" s="4"/>
      <c r="U45" s="4"/>
      <c r="V45" s="4"/>
      <c r="W45" s="4"/>
      <c r="X45" s="4"/>
      <c r="Y45" s="4"/>
      <c r="Z45" s="4"/>
    </row>
    <row r="46">
      <c r="A46" s="8">
        <v>44.0</v>
      </c>
      <c r="B46" s="9" t="s">
        <v>67</v>
      </c>
      <c r="C46" s="10" t="s">
        <v>174</v>
      </c>
      <c r="D46" s="10">
        <v>4.0</v>
      </c>
      <c r="E46" s="10" t="s">
        <v>137</v>
      </c>
      <c r="F46" s="10">
        <v>73.5</v>
      </c>
      <c r="G46" s="1"/>
      <c r="H46" s="9" t="s">
        <v>67</v>
      </c>
      <c r="I46" s="9">
        <v>24.086696</v>
      </c>
      <c r="J46" s="9">
        <v>85.491223</v>
      </c>
      <c r="K46" s="14"/>
      <c r="L46" s="14"/>
      <c r="M46" s="9">
        <v>81.0</v>
      </c>
      <c r="N46" s="8"/>
      <c r="O46" s="11" t="s">
        <v>67</v>
      </c>
      <c r="P46" s="11" t="s">
        <v>171</v>
      </c>
      <c r="Q46" s="11" t="s">
        <v>175</v>
      </c>
      <c r="R46" s="11" t="s">
        <v>176</v>
      </c>
      <c r="S46" s="11">
        <v>81.0</v>
      </c>
      <c r="T46" s="4"/>
      <c r="U46" s="4"/>
      <c r="V46" s="4"/>
      <c r="W46" s="4"/>
      <c r="X46" s="4"/>
      <c r="Y46" s="4"/>
      <c r="Z46" s="4"/>
    </row>
    <row r="47">
      <c r="A47" s="8">
        <v>45.0</v>
      </c>
      <c r="B47" s="9" t="s">
        <v>163</v>
      </c>
      <c r="C47" s="10" t="s">
        <v>177</v>
      </c>
      <c r="D47" s="10">
        <v>4.0</v>
      </c>
      <c r="E47" s="10" t="s">
        <v>137</v>
      </c>
      <c r="F47" s="10">
        <v>22.73</v>
      </c>
      <c r="G47" s="1"/>
      <c r="H47" s="9" t="s">
        <v>163</v>
      </c>
      <c r="I47" s="14"/>
      <c r="J47" s="14"/>
      <c r="K47" s="9">
        <v>24.053577</v>
      </c>
      <c r="L47" s="9">
        <v>83.652682</v>
      </c>
      <c r="M47" s="9">
        <v>18.0</v>
      </c>
      <c r="N47" s="8"/>
      <c r="O47" s="11" t="s">
        <v>163</v>
      </c>
      <c r="P47" s="11" t="s">
        <v>165</v>
      </c>
      <c r="Q47" s="11" t="s">
        <v>178</v>
      </c>
      <c r="R47" s="22" t="s">
        <v>179</v>
      </c>
      <c r="S47" s="11">
        <v>18.0</v>
      </c>
      <c r="T47" s="4"/>
      <c r="U47" s="4"/>
      <c r="V47" s="4"/>
      <c r="W47" s="4"/>
      <c r="X47" s="4"/>
      <c r="Y47" s="4"/>
      <c r="Z47" s="4"/>
    </row>
    <row r="48">
      <c r="A48" s="8">
        <v>46.0</v>
      </c>
      <c r="B48" s="9" t="s">
        <v>180</v>
      </c>
      <c r="C48" s="10" t="s">
        <v>181</v>
      </c>
      <c r="D48" s="10">
        <v>4.0</v>
      </c>
      <c r="E48" s="10" t="s">
        <v>137</v>
      </c>
      <c r="F48" s="10">
        <v>56.89</v>
      </c>
      <c r="G48" s="1"/>
      <c r="H48" s="9" t="s">
        <v>180</v>
      </c>
      <c r="I48" s="14"/>
      <c r="J48" s="14"/>
      <c r="K48" s="14"/>
      <c r="L48" s="14"/>
      <c r="M48" s="9">
        <v>57.0</v>
      </c>
      <c r="N48" s="8"/>
      <c r="O48" s="11" t="s">
        <v>180</v>
      </c>
      <c r="P48" s="11" t="s">
        <v>182</v>
      </c>
      <c r="Q48" s="11" t="s">
        <v>183</v>
      </c>
      <c r="R48" s="11" t="s">
        <v>184</v>
      </c>
      <c r="S48" s="11">
        <v>57.0</v>
      </c>
      <c r="T48" s="4"/>
      <c r="U48" s="4"/>
      <c r="V48" s="4"/>
      <c r="W48" s="4"/>
      <c r="X48" s="4"/>
      <c r="Y48" s="4"/>
      <c r="Z48" s="4"/>
    </row>
    <row r="49">
      <c r="A49" s="8">
        <v>47.0</v>
      </c>
      <c r="B49" s="9" t="s">
        <v>67</v>
      </c>
      <c r="C49" s="10" t="s">
        <v>185</v>
      </c>
      <c r="D49" s="10">
        <v>4.0</v>
      </c>
      <c r="E49" s="10" t="s">
        <v>137</v>
      </c>
      <c r="F49" s="10">
        <v>26.27</v>
      </c>
      <c r="G49" s="1"/>
      <c r="H49" s="9" t="s">
        <v>67</v>
      </c>
      <c r="I49" s="9">
        <v>23.37005</v>
      </c>
      <c r="J49" s="9">
        <v>85.325039</v>
      </c>
      <c r="K49" s="14"/>
      <c r="L49" s="14"/>
      <c r="M49" s="9">
        <v>26.0</v>
      </c>
      <c r="N49" s="8"/>
      <c r="O49" s="11" t="s">
        <v>67</v>
      </c>
      <c r="P49" s="11" t="s">
        <v>165</v>
      </c>
      <c r="Q49" s="11" t="s">
        <v>186</v>
      </c>
      <c r="R49" s="11" t="s">
        <v>187</v>
      </c>
      <c r="S49" s="11">
        <v>26.0</v>
      </c>
      <c r="T49" s="4"/>
      <c r="U49" s="4"/>
      <c r="V49" s="4"/>
      <c r="W49" s="4"/>
      <c r="X49" s="4"/>
      <c r="Y49" s="4"/>
      <c r="Z49" s="4"/>
    </row>
    <row r="50">
      <c r="A50" s="8">
        <v>48.0</v>
      </c>
      <c r="B50" s="9" t="s">
        <v>188</v>
      </c>
      <c r="C50" s="10" t="s">
        <v>189</v>
      </c>
      <c r="D50" s="10">
        <v>4.0</v>
      </c>
      <c r="E50" s="10" t="s">
        <v>137</v>
      </c>
      <c r="F50" s="10">
        <v>33.765</v>
      </c>
      <c r="G50" s="1"/>
      <c r="H50" s="9" t="s">
        <v>188</v>
      </c>
      <c r="I50" s="9">
        <v>24.487511</v>
      </c>
      <c r="J50" s="9">
        <v>84.275854</v>
      </c>
      <c r="K50" s="14"/>
      <c r="L50" s="14"/>
      <c r="M50" s="9">
        <v>51.0</v>
      </c>
      <c r="N50" s="8"/>
      <c r="O50" s="11" t="s">
        <v>188</v>
      </c>
      <c r="P50" s="11" t="s">
        <v>190</v>
      </c>
      <c r="Q50" s="11" t="s">
        <v>191</v>
      </c>
      <c r="R50" s="11" t="s">
        <v>192</v>
      </c>
      <c r="S50" s="11">
        <v>51.0</v>
      </c>
      <c r="T50" s="4"/>
      <c r="U50" s="4"/>
      <c r="V50" s="4"/>
      <c r="W50" s="4"/>
      <c r="X50" s="4"/>
      <c r="Y50" s="4"/>
      <c r="Z50" s="4"/>
    </row>
    <row r="51">
      <c r="A51" s="8">
        <v>49.0</v>
      </c>
      <c r="B51" s="9" t="s">
        <v>193</v>
      </c>
      <c r="C51" s="10" t="s">
        <v>194</v>
      </c>
      <c r="D51" s="10">
        <v>4.0</v>
      </c>
      <c r="E51" s="10" t="s">
        <v>195</v>
      </c>
      <c r="F51" s="10">
        <v>61.8</v>
      </c>
      <c r="G51" s="15"/>
      <c r="H51" s="9" t="s">
        <v>193</v>
      </c>
      <c r="I51" s="14"/>
      <c r="J51" s="14"/>
      <c r="K51" s="9"/>
      <c r="L51" s="14"/>
      <c r="M51" s="9">
        <v>76.0</v>
      </c>
      <c r="N51" s="8"/>
      <c r="O51" s="11" t="s">
        <v>193</v>
      </c>
      <c r="P51" s="11" t="s">
        <v>196</v>
      </c>
      <c r="Q51" s="11" t="s">
        <v>197</v>
      </c>
      <c r="R51" s="11" t="s">
        <v>198</v>
      </c>
      <c r="S51" s="11">
        <v>76.0</v>
      </c>
      <c r="T51" s="4"/>
      <c r="U51" s="4"/>
      <c r="V51" s="4"/>
      <c r="W51" s="4"/>
      <c r="X51" s="4"/>
      <c r="Y51" s="4"/>
      <c r="Z51" s="4"/>
    </row>
    <row r="52">
      <c r="A52" s="8">
        <v>50.0</v>
      </c>
      <c r="B52" s="9" t="s">
        <v>193</v>
      </c>
      <c r="C52" s="10" t="s">
        <v>199</v>
      </c>
      <c r="D52" s="10">
        <v>2.0</v>
      </c>
      <c r="E52" s="10" t="s">
        <v>195</v>
      </c>
      <c r="F52" s="10">
        <v>48.76</v>
      </c>
      <c r="G52" s="15"/>
      <c r="H52" s="9" t="s">
        <v>193</v>
      </c>
      <c r="I52" s="9">
        <v>25.575993</v>
      </c>
      <c r="J52" s="9">
        <v>91.882787</v>
      </c>
      <c r="K52" s="14"/>
      <c r="L52" s="14"/>
      <c r="M52" s="9">
        <v>48.6</v>
      </c>
      <c r="N52" s="8"/>
      <c r="O52" s="11" t="s">
        <v>193</v>
      </c>
      <c r="P52" s="11" t="s">
        <v>196</v>
      </c>
      <c r="Q52" s="11" t="s">
        <v>200</v>
      </c>
      <c r="R52" s="11" t="s">
        <v>201</v>
      </c>
      <c r="S52" s="11">
        <v>48.6</v>
      </c>
      <c r="T52" s="4"/>
      <c r="U52" s="4"/>
      <c r="V52" s="4"/>
      <c r="W52" s="4"/>
      <c r="X52" s="4"/>
      <c r="Y52" s="4"/>
      <c r="Z52" s="4"/>
    </row>
    <row r="53">
      <c r="A53" s="23">
        <v>51.0</v>
      </c>
      <c r="B53" s="24"/>
      <c r="C53" s="25" t="s">
        <v>202</v>
      </c>
      <c r="D53" s="26">
        <v>6.0</v>
      </c>
      <c r="E53" s="26" t="s">
        <v>203</v>
      </c>
      <c r="F53" s="26">
        <v>74.5</v>
      </c>
      <c r="G53" s="1"/>
      <c r="H53" s="24"/>
      <c r="I53" s="27">
        <v>20.739617</v>
      </c>
      <c r="J53" s="27">
        <v>86.045493</v>
      </c>
      <c r="K53" s="27">
        <v>20.985405</v>
      </c>
      <c r="L53" s="27">
        <v>86.593423</v>
      </c>
      <c r="M53" s="27"/>
      <c r="N53" s="23"/>
      <c r="O53" s="28"/>
      <c r="P53" s="29" t="s">
        <v>204</v>
      </c>
      <c r="Q53" s="30" t="s">
        <v>205</v>
      </c>
      <c r="R53" s="31" t="s">
        <v>206</v>
      </c>
      <c r="S53" s="30">
        <v>68.4</v>
      </c>
      <c r="T53" s="4"/>
      <c r="U53" s="4"/>
      <c r="V53" s="4"/>
      <c r="W53" s="4"/>
      <c r="X53" s="4"/>
      <c r="Y53" s="4"/>
      <c r="Z53" s="4"/>
    </row>
    <row r="54">
      <c r="A54" s="23">
        <v>52.0</v>
      </c>
      <c r="B54" s="24"/>
      <c r="C54" s="25" t="s">
        <v>207</v>
      </c>
      <c r="D54" s="26">
        <v>4.0</v>
      </c>
      <c r="E54" s="26" t="s">
        <v>203</v>
      </c>
      <c r="F54" s="26">
        <v>88.0</v>
      </c>
      <c r="G54" s="1"/>
      <c r="H54" s="24"/>
      <c r="I54" s="27">
        <v>18.775624</v>
      </c>
      <c r="J54" s="27">
        <v>84.094384</v>
      </c>
      <c r="K54" s="27">
        <v>21.557061</v>
      </c>
      <c r="L54" s="27">
        <v>84.152851</v>
      </c>
      <c r="M54" s="27"/>
      <c r="N54" s="23"/>
      <c r="O54" s="28"/>
      <c r="P54" s="29" t="s">
        <v>208</v>
      </c>
      <c r="Q54" s="30" t="s">
        <v>209</v>
      </c>
      <c r="R54" s="31" t="s">
        <v>210</v>
      </c>
      <c r="S54" s="30">
        <v>85.0</v>
      </c>
      <c r="T54" s="4"/>
      <c r="U54" s="4"/>
      <c r="V54" s="4"/>
      <c r="W54" s="4"/>
      <c r="X54" s="4"/>
      <c r="Y54" s="4"/>
      <c r="Z54" s="4"/>
    </row>
    <row r="55">
      <c r="A55" s="23">
        <v>53.0</v>
      </c>
      <c r="B55" s="24"/>
      <c r="C55" s="25" t="s">
        <v>211</v>
      </c>
      <c r="D55" s="26">
        <v>4.0</v>
      </c>
      <c r="E55" s="26" t="s">
        <v>203</v>
      </c>
      <c r="F55" s="26">
        <v>78.32</v>
      </c>
      <c r="G55" s="1"/>
      <c r="H55" s="24"/>
      <c r="I55" s="24"/>
      <c r="J55" s="24"/>
      <c r="K55" s="24"/>
      <c r="L55" s="24"/>
      <c r="M55" s="27"/>
      <c r="N55" s="23"/>
      <c r="O55" s="28"/>
      <c r="P55" s="29" t="s">
        <v>212</v>
      </c>
      <c r="Q55" s="30" t="s">
        <v>213</v>
      </c>
      <c r="R55" s="31" t="s">
        <v>214</v>
      </c>
      <c r="S55" s="30">
        <v>81.0</v>
      </c>
      <c r="T55" s="4"/>
      <c r="U55" s="4"/>
      <c r="V55" s="4"/>
      <c r="W55" s="4"/>
      <c r="X55" s="4"/>
      <c r="Y55" s="4"/>
      <c r="Z55" s="4"/>
    </row>
    <row r="56">
      <c r="A56" s="23">
        <v>54.0</v>
      </c>
      <c r="B56" s="24"/>
      <c r="C56" s="25" t="s">
        <v>215</v>
      </c>
      <c r="D56" s="26">
        <v>4.0</v>
      </c>
      <c r="E56" s="26" t="s">
        <v>203</v>
      </c>
      <c r="F56" s="26">
        <v>104.17</v>
      </c>
      <c r="G56" s="1"/>
      <c r="H56" s="24"/>
      <c r="I56" s="24"/>
      <c r="J56" s="24"/>
      <c r="K56" s="24"/>
      <c r="L56" s="24"/>
      <c r="M56" s="27"/>
      <c r="N56" s="23"/>
      <c r="O56" s="28"/>
      <c r="P56" s="29" t="s">
        <v>171</v>
      </c>
      <c r="Q56" s="30" t="s">
        <v>216</v>
      </c>
      <c r="R56" s="31" t="s">
        <v>217</v>
      </c>
      <c r="S56" s="30">
        <v>146.0</v>
      </c>
      <c r="T56" s="4"/>
      <c r="U56" s="4"/>
      <c r="V56" s="4"/>
      <c r="W56" s="4"/>
      <c r="X56" s="4"/>
      <c r="Y56" s="4"/>
      <c r="Z56" s="4"/>
    </row>
    <row r="57">
      <c r="A57" s="23">
        <v>55.0</v>
      </c>
      <c r="B57" s="27" t="s">
        <v>196</v>
      </c>
      <c r="C57" s="26" t="s">
        <v>218</v>
      </c>
      <c r="D57" s="26">
        <v>4.0</v>
      </c>
      <c r="E57" s="26" t="s">
        <v>203</v>
      </c>
      <c r="F57" s="26">
        <v>111.61</v>
      </c>
      <c r="G57" s="1"/>
      <c r="H57" s="27" t="s">
        <v>196</v>
      </c>
      <c r="I57" s="24"/>
      <c r="J57" s="24"/>
      <c r="K57" s="24"/>
      <c r="L57" s="24"/>
      <c r="M57" s="27"/>
      <c r="N57" s="23"/>
      <c r="O57" s="30" t="s">
        <v>196</v>
      </c>
      <c r="P57" s="29" t="s">
        <v>219</v>
      </c>
      <c r="Q57" s="30" t="s">
        <v>220</v>
      </c>
      <c r="R57" s="31" t="s">
        <v>216</v>
      </c>
      <c r="S57" s="30">
        <v>185.0</v>
      </c>
      <c r="T57" s="4"/>
      <c r="U57" s="4"/>
      <c r="V57" s="4"/>
      <c r="W57" s="4"/>
      <c r="X57" s="4"/>
      <c r="Y57" s="4"/>
      <c r="Z57" s="4"/>
    </row>
    <row r="58">
      <c r="A58" s="23">
        <v>56.0</v>
      </c>
      <c r="B58" s="27" t="s">
        <v>221</v>
      </c>
      <c r="C58" s="26" t="s">
        <v>222</v>
      </c>
      <c r="D58" s="26">
        <v>4.0</v>
      </c>
      <c r="E58" s="26" t="s">
        <v>203</v>
      </c>
      <c r="F58" s="26">
        <v>81.257</v>
      </c>
      <c r="G58" s="1"/>
      <c r="H58" s="27" t="s">
        <v>221</v>
      </c>
      <c r="I58" s="27">
        <v>21.500642</v>
      </c>
      <c r="J58" s="27">
        <v>86.919884</v>
      </c>
      <c r="K58" s="27">
        <v>22.24112</v>
      </c>
      <c r="L58" s="27">
        <v>86.572976</v>
      </c>
      <c r="M58" s="27"/>
      <c r="N58" s="23"/>
      <c r="O58" s="30" t="s">
        <v>221</v>
      </c>
      <c r="P58" s="29" t="s">
        <v>223</v>
      </c>
      <c r="Q58" s="30" t="s">
        <v>224</v>
      </c>
      <c r="R58" s="31" t="s">
        <v>225</v>
      </c>
      <c r="S58" s="30">
        <v>89.5</v>
      </c>
      <c r="T58" s="4"/>
      <c r="U58" s="4"/>
      <c r="V58" s="4"/>
      <c r="W58" s="4"/>
      <c r="X58" s="4"/>
      <c r="Y58" s="4"/>
      <c r="Z58" s="4"/>
    </row>
    <row r="59">
      <c r="A59" s="23">
        <v>57.0</v>
      </c>
      <c r="B59" s="24"/>
      <c r="C59" s="25" t="s">
        <v>226</v>
      </c>
      <c r="D59" s="26">
        <v>4.0</v>
      </c>
      <c r="E59" s="26" t="s">
        <v>203</v>
      </c>
      <c r="F59" s="26">
        <v>10.9</v>
      </c>
      <c r="G59" s="1"/>
      <c r="H59" s="24"/>
      <c r="I59" s="24"/>
      <c r="J59" s="24"/>
      <c r="K59" s="27">
        <v>19.807608</v>
      </c>
      <c r="L59" s="27">
        <v>85.825254</v>
      </c>
      <c r="M59" s="27"/>
      <c r="N59" s="23"/>
      <c r="O59" s="28"/>
      <c r="P59" s="29" t="s">
        <v>227</v>
      </c>
      <c r="Q59" s="30" t="s">
        <v>228</v>
      </c>
      <c r="R59" s="31" t="s">
        <v>229</v>
      </c>
      <c r="S59" s="30">
        <v>15.0</v>
      </c>
      <c r="T59" s="4"/>
      <c r="U59" s="4"/>
      <c r="V59" s="4"/>
      <c r="W59" s="4"/>
      <c r="X59" s="4"/>
      <c r="Y59" s="4"/>
      <c r="Z59" s="4"/>
    </row>
    <row r="60">
      <c r="A60" s="23">
        <v>58.0</v>
      </c>
      <c r="B60" s="27" t="s">
        <v>230</v>
      </c>
      <c r="C60" s="26" t="s">
        <v>231</v>
      </c>
      <c r="D60" s="26">
        <v>2.0</v>
      </c>
      <c r="E60" s="26" t="s">
        <v>203</v>
      </c>
      <c r="F60" s="26">
        <v>68.0</v>
      </c>
      <c r="G60" s="1"/>
      <c r="H60" s="27" t="s">
        <v>230</v>
      </c>
      <c r="I60" s="27">
        <v>21.768855</v>
      </c>
      <c r="J60" s="27">
        <v>83.489652</v>
      </c>
      <c r="K60" s="24"/>
      <c r="L60" s="24"/>
      <c r="M60" s="27"/>
      <c r="N60" s="23"/>
      <c r="O60" s="30" t="s">
        <v>230</v>
      </c>
      <c r="P60" s="29" t="s">
        <v>232</v>
      </c>
      <c r="Q60" s="30" t="s">
        <v>233</v>
      </c>
      <c r="R60" s="31" t="s">
        <v>234</v>
      </c>
      <c r="S60" s="30">
        <v>68.2</v>
      </c>
      <c r="T60" s="4"/>
      <c r="U60" s="4"/>
      <c r="V60" s="4"/>
      <c r="W60" s="4"/>
      <c r="X60" s="4"/>
      <c r="Y60" s="4"/>
      <c r="Z60" s="4"/>
    </row>
    <row r="61">
      <c r="A61" s="23">
        <v>59.0</v>
      </c>
      <c r="B61" s="27" t="s">
        <v>235</v>
      </c>
      <c r="C61" s="26" t="s">
        <v>236</v>
      </c>
      <c r="D61" s="26">
        <v>4.0</v>
      </c>
      <c r="E61" s="26" t="s">
        <v>203</v>
      </c>
      <c r="F61" s="26">
        <v>41.73</v>
      </c>
      <c r="G61" s="1"/>
      <c r="H61" s="27" t="s">
        <v>235</v>
      </c>
      <c r="I61" s="27">
        <v>20.93223</v>
      </c>
      <c r="J61" s="27">
        <v>85.200582</v>
      </c>
      <c r="K61" s="24"/>
      <c r="L61" s="24"/>
      <c r="M61" s="27"/>
      <c r="N61" s="23"/>
      <c r="O61" s="30" t="s">
        <v>235</v>
      </c>
      <c r="P61" s="29" t="s">
        <v>230</v>
      </c>
      <c r="Q61" s="30" t="s">
        <v>237</v>
      </c>
      <c r="R61" s="31" t="s">
        <v>238</v>
      </c>
      <c r="S61" s="30">
        <v>44.1</v>
      </c>
      <c r="T61" s="4"/>
      <c r="U61" s="4"/>
      <c r="V61" s="4"/>
      <c r="W61" s="4"/>
      <c r="X61" s="4"/>
      <c r="Y61" s="4"/>
      <c r="Z61" s="4"/>
    </row>
    <row r="62">
      <c r="A62" s="32">
        <v>60.0</v>
      </c>
      <c r="B62" s="24"/>
      <c r="C62" s="25" t="s">
        <v>239</v>
      </c>
      <c r="D62" s="26">
        <v>4.0</v>
      </c>
      <c r="E62" s="26" t="s">
        <v>203</v>
      </c>
      <c r="F62" s="26">
        <v>51.1</v>
      </c>
      <c r="G62" s="1"/>
      <c r="H62" s="24"/>
      <c r="I62" s="27">
        <v>20.930734</v>
      </c>
      <c r="J62" s="27">
        <v>85.54665</v>
      </c>
      <c r="K62" s="27">
        <v>20.44357</v>
      </c>
      <c r="L62" s="27">
        <v>85.897359</v>
      </c>
      <c r="M62" s="27"/>
      <c r="N62" s="23"/>
      <c r="O62" s="28"/>
      <c r="P62" s="29" t="s">
        <v>230</v>
      </c>
      <c r="Q62" s="30" t="s">
        <v>240</v>
      </c>
      <c r="R62" s="31" t="s">
        <v>241</v>
      </c>
      <c r="S62" s="30">
        <v>53.3</v>
      </c>
      <c r="T62" s="4"/>
      <c r="U62" s="4"/>
      <c r="V62" s="4"/>
      <c r="W62" s="4"/>
      <c r="X62" s="4"/>
      <c r="Y62" s="4"/>
      <c r="Z62" s="4"/>
    </row>
    <row r="63">
      <c r="A63" s="23">
        <v>61.0</v>
      </c>
      <c r="B63" s="27" t="s">
        <v>204</v>
      </c>
      <c r="C63" s="26" t="s">
        <v>242</v>
      </c>
      <c r="D63" s="26">
        <v>6.0</v>
      </c>
      <c r="E63" s="26" t="s">
        <v>203</v>
      </c>
      <c r="F63" s="26">
        <v>67.0</v>
      </c>
      <c r="G63" s="1"/>
      <c r="H63" s="27" t="s">
        <v>204</v>
      </c>
      <c r="I63" s="27">
        <v>20.260296</v>
      </c>
      <c r="J63" s="27">
        <v>85.839452</v>
      </c>
      <c r="K63" s="27">
        <v>20.739617</v>
      </c>
      <c r="L63" s="27">
        <v>86.045493</v>
      </c>
      <c r="M63" s="27"/>
      <c r="N63" s="23"/>
      <c r="O63" s="30" t="s">
        <v>204</v>
      </c>
      <c r="P63" s="30" t="s">
        <v>204</v>
      </c>
      <c r="Q63" s="30" t="s">
        <v>243</v>
      </c>
      <c r="R63" s="31" t="s">
        <v>244</v>
      </c>
      <c r="S63" s="30">
        <v>67.0</v>
      </c>
      <c r="T63" s="4"/>
      <c r="U63" s="4"/>
      <c r="V63" s="4"/>
      <c r="W63" s="4"/>
      <c r="X63" s="4"/>
      <c r="Y63" s="4"/>
      <c r="Z63" s="4"/>
    </row>
    <row r="64">
      <c r="A64" s="32">
        <v>62.0</v>
      </c>
      <c r="B64" s="27" t="s">
        <v>144</v>
      </c>
      <c r="C64" s="26" t="s">
        <v>245</v>
      </c>
      <c r="D64" s="26">
        <v>4.0</v>
      </c>
      <c r="E64" s="26" t="s">
        <v>203</v>
      </c>
      <c r="F64" s="26">
        <v>29.1</v>
      </c>
      <c r="G64" s="1"/>
      <c r="H64" s="27" t="s">
        <v>144</v>
      </c>
      <c r="I64" s="24"/>
      <c r="J64" s="24"/>
      <c r="K64" s="24"/>
      <c r="L64" s="24"/>
      <c r="M64" s="27"/>
      <c r="N64" s="23"/>
      <c r="O64" s="30" t="s">
        <v>144</v>
      </c>
      <c r="P64" s="29" t="s">
        <v>246</v>
      </c>
      <c r="Q64" s="30" t="s">
        <v>247</v>
      </c>
      <c r="R64" s="31" t="s">
        <v>248</v>
      </c>
      <c r="S64" s="30">
        <v>36.0</v>
      </c>
      <c r="T64" s="4"/>
      <c r="U64" s="4"/>
      <c r="V64" s="4"/>
      <c r="W64" s="4"/>
      <c r="X64" s="4"/>
      <c r="Y64" s="4"/>
      <c r="Z64" s="4"/>
    </row>
    <row r="65">
      <c r="A65" s="32">
        <v>63.0</v>
      </c>
      <c r="B65" s="24"/>
      <c r="C65" s="25" t="s">
        <v>249</v>
      </c>
      <c r="D65" s="26">
        <v>4.0</v>
      </c>
      <c r="E65" s="26" t="s">
        <v>203</v>
      </c>
      <c r="F65" s="26">
        <v>46.95</v>
      </c>
      <c r="G65" s="1"/>
      <c r="H65" s="24"/>
      <c r="I65" s="24"/>
      <c r="J65" s="24"/>
      <c r="K65" s="24"/>
      <c r="L65" s="24"/>
      <c r="M65" s="27"/>
      <c r="N65" s="23"/>
      <c r="O65" s="28"/>
      <c r="P65" s="29" t="s">
        <v>246</v>
      </c>
      <c r="Q65" s="30" t="s">
        <v>250</v>
      </c>
      <c r="R65" s="31" t="s">
        <v>251</v>
      </c>
      <c r="S65" s="30">
        <v>47.0</v>
      </c>
      <c r="T65" s="4"/>
      <c r="U65" s="4"/>
      <c r="V65" s="4"/>
      <c r="W65" s="4"/>
      <c r="X65" s="4"/>
      <c r="Y65" s="4"/>
      <c r="Z65" s="4"/>
    </row>
    <row r="66">
      <c r="A66" s="23">
        <v>64.0</v>
      </c>
      <c r="B66" s="24"/>
      <c r="C66" s="25" t="s">
        <v>252</v>
      </c>
      <c r="D66" s="26">
        <v>4.0</v>
      </c>
      <c r="E66" s="26" t="s">
        <v>203</v>
      </c>
      <c r="F66" s="26">
        <v>50.75</v>
      </c>
      <c r="G66" s="1"/>
      <c r="H66" s="24"/>
      <c r="I66" s="24"/>
      <c r="J66" s="24"/>
      <c r="K66" s="27">
        <v>21.557061</v>
      </c>
      <c r="L66" s="27">
        <v>84.152851</v>
      </c>
      <c r="M66" s="27"/>
      <c r="N66" s="23"/>
      <c r="O66" s="28"/>
      <c r="P66" s="29" t="s">
        <v>253</v>
      </c>
      <c r="Q66" s="30" t="s">
        <v>214</v>
      </c>
      <c r="R66" s="31" t="s">
        <v>254</v>
      </c>
      <c r="S66" s="30">
        <v>73.0</v>
      </c>
      <c r="T66" s="4"/>
      <c r="U66" s="4"/>
      <c r="V66" s="4"/>
      <c r="W66" s="4"/>
      <c r="X66" s="4"/>
      <c r="Y66" s="4"/>
      <c r="Z66" s="4"/>
    </row>
    <row r="67">
      <c r="A67" s="23">
        <v>65.0</v>
      </c>
      <c r="B67" s="27" t="s">
        <v>255</v>
      </c>
      <c r="C67" s="26" t="s">
        <v>256</v>
      </c>
      <c r="D67" s="26">
        <v>4.0</v>
      </c>
      <c r="E67" s="26" t="s">
        <v>203</v>
      </c>
      <c r="F67" s="26">
        <v>53.25</v>
      </c>
      <c r="G67" s="1"/>
      <c r="H67" s="27" t="s">
        <v>255</v>
      </c>
      <c r="I67" s="27">
        <v>21.920434</v>
      </c>
      <c r="J67" s="27">
        <v>85.276923</v>
      </c>
      <c r="K67" s="27">
        <v>20.44357</v>
      </c>
      <c r="L67" s="27">
        <v>85.897359</v>
      </c>
      <c r="M67" s="27"/>
      <c r="N67" s="23"/>
      <c r="O67" s="30" t="s">
        <v>255</v>
      </c>
      <c r="P67" s="29" t="s">
        <v>257</v>
      </c>
      <c r="Q67" s="30" t="s">
        <v>258</v>
      </c>
      <c r="R67" s="31" t="s">
        <v>259</v>
      </c>
      <c r="S67" s="30">
        <v>52.0</v>
      </c>
      <c r="T67" s="4"/>
      <c r="U67" s="4"/>
      <c r="V67" s="4"/>
      <c r="W67" s="4"/>
      <c r="X67" s="4"/>
      <c r="Y67" s="4"/>
      <c r="Z67" s="4"/>
    </row>
    <row r="68">
      <c r="A68" s="23">
        <v>66.0</v>
      </c>
      <c r="B68" s="27" t="s">
        <v>227</v>
      </c>
      <c r="C68" s="26" t="s">
        <v>260</v>
      </c>
      <c r="D68" s="26">
        <v>4.0</v>
      </c>
      <c r="E68" s="26" t="s">
        <v>203</v>
      </c>
      <c r="F68" s="26">
        <v>56.5</v>
      </c>
      <c r="G68" s="1"/>
      <c r="H68" s="27" t="s">
        <v>227</v>
      </c>
      <c r="I68" s="24"/>
      <c r="J68" s="24"/>
      <c r="K68" s="27">
        <v>19.807608</v>
      </c>
      <c r="L68" s="27">
        <v>85.825254</v>
      </c>
      <c r="M68" s="27"/>
      <c r="N68" s="23"/>
      <c r="O68" s="30" t="s">
        <v>227</v>
      </c>
      <c r="P68" s="30" t="s">
        <v>227</v>
      </c>
      <c r="Q68" s="30" t="s">
        <v>261</v>
      </c>
      <c r="R68" s="31" t="s">
        <v>262</v>
      </c>
      <c r="S68" s="30">
        <v>58.0</v>
      </c>
      <c r="T68" s="4"/>
      <c r="U68" s="4"/>
      <c r="V68" s="4"/>
      <c r="W68" s="4"/>
      <c r="X68" s="4"/>
      <c r="Y68" s="4"/>
      <c r="Z68" s="4"/>
    </row>
    <row r="69">
      <c r="A69" s="23">
        <v>67.0</v>
      </c>
      <c r="B69" s="24"/>
      <c r="C69" s="25" t="s">
        <v>263</v>
      </c>
      <c r="D69" s="26">
        <v>4.0</v>
      </c>
      <c r="E69" s="26" t="s">
        <v>203</v>
      </c>
      <c r="F69" s="26">
        <v>64.4</v>
      </c>
      <c r="G69" s="1"/>
      <c r="H69" s="24"/>
      <c r="I69" s="27">
        <v>19.392326</v>
      </c>
      <c r="J69" s="27">
        <v>85.063361</v>
      </c>
      <c r="K69" s="24"/>
      <c r="L69" s="24"/>
      <c r="M69" s="27"/>
      <c r="N69" s="23"/>
      <c r="O69" s="28"/>
      <c r="P69" s="29" t="s">
        <v>204</v>
      </c>
      <c r="Q69" s="30" t="s">
        <v>264</v>
      </c>
      <c r="R69" s="31" t="s">
        <v>265</v>
      </c>
      <c r="S69" s="30">
        <v>54.0</v>
      </c>
      <c r="T69" s="4"/>
      <c r="U69" s="4"/>
      <c r="V69" s="4"/>
      <c r="W69" s="4"/>
      <c r="X69" s="4"/>
      <c r="Y69" s="4"/>
      <c r="Z69" s="4"/>
    </row>
    <row r="70">
      <c r="A70" s="23">
        <v>68.0</v>
      </c>
      <c r="B70" s="27" t="s">
        <v>221</v>
      </c>
      <c r="C70" s="26" t="s">
        <v>266</v>
      </c>
      <c r="D70" s="26">
        <v>6.0</v>
      </c>
      <c r="E70" s="26" t="s">
        <v>203</v>
      </c>
      <c r="F70" s="26">
        <v>75.36</v>
      </c>
      <c r="G70" s="1"/>
      <c r="H70" s="27" t="s">
        <v>221</v>
      </c>
      <c r="I70" s="27">
        <v>19.392326</v>
      </c>
      <c r="J70" s="27">
        <v>85.063361</v>
      </c>
      <c r="K70" s="27">
        <v>19.894859</v>
      </c>
      <c r="L70" s="27">
        <v>85.429795</v>
      </c>
      <c r="M70" s="27"/>
      <c r="N70" s="23"/>
      <c r="O70" s="30" t="s">
        <v>221</v>
      </c>
      <c r="P70" s="29" t="s">
        <v>204</v>
      </c>
      <c r="Q70" s="30" t="s">
        <v>267</v>
      </c>
      <c r="R70" s="31" t="s">
        <v>268</v>
      </c>
      <c r="S70" s="30">
        <v>72.0</v>
      </c>
      <c r="T70" s="4"/>
      <c r="U70" s="4"/>
      <c r="V70" s="4"/>
      <c r="W70" s="4"/>
      <c r="X70" s="4"/>
      <c r="Y70" s="4"/>
      <c r="Z70" s="4"/>
    </row>
    <row r="71">
      <c r="A71" s="33">
        <v>69.0</v>
      </c>
      <c r="B71" s="33" t="s">
        <v>196</v>
      </c>
      <c r="C71" s="33" t="s">
        <v>269</v>
      </c>
      <c r="D71" s="33">
        <v>2.0</v>
      </c>
      <c r="E71" s="33" t="s">
        <v>203</v>
      </c>
      <c r="F71" s="33">
        <v>26.026</v>
      </c>
      <c r="G71" s="1"/>
      <c r="H71" s="33" t="s">
        <v>196</v>
      </c>
      <c r="I71" s="34"/>
      <c r="J71" s="34"/>
      <c r="K71" s="33">
        <v>21.557061</v>
      </c>
      <c r="L71" s="33">
        <v>84.152851</v>
      </c>
      <c r="M71" s="34"/>
      <c r="N71" s="23"/>
      <c r="O71" s="33" t="s">
        <v>196</v>
      </c>
      <c r="P71" s="34"/>
      <c r="Q71" s="34"/>
      <c r="R71" s="34"/>
      <c r="S71" s="34"/>
      <c r="T71" s="4"/>
      <c r="U71" s="4"/>
      <c r="V71" s="4"/>
      <c r="W71" s="4"/>
      <c r="X71" s="4"/>
      <c r="Y71" s="4"/>
      <c r="Z71" s="4"/>
    </row>
    <row r="72">
      <c r="A72" s="23">
        <v>70.0</v>
      </c>
      <c r="B72" s="27" t="s">
        <v>255</v>
      </c>
      <c r="C72" s="26" t="s">
        <v>270</v>
      </c>
      <c r="D72" s="26">
        <v>4.0</v>
      </c>
      <c r="E72" s="26" t="s">
        <v>203</v>
      </c>
      <c r="F72" s="26">
        <v>43.2</v>
      </c>
      <c r="G72" s="1"/>
      <c r="H72" s="27" t="s">
        <v>255</v>
      </c>
      <c r="I72" s="27">
        <v>21.947187</v>
      </c>
      <c r="J72" s="27">
        <v>85.249235</v>
      </c>
      <c r="K72" s="24"/>
      <c r="L72" s="24"/>
      <c r="M72" s="27"/>
      <c r="N72" s="23"/>
      <c r="O72" s="30" t="s">
        <v>255</v>
      </c>
      <c r="P72" s="29" t="s">
        <v>257</v>
      </c>
      <c r="Q72" s="30" t="s">
        <v>271</v>
      </c>
      <c r="R72" s="31" t="s">
        <v>272</v>
      </c>
      <c r="S72" s="30">
        <v>52.3</v>
      </c>
      <c r="T72" s="4"/>
      <c r="U72" s="4"/>
      <c r="V72" s="4"/>
      <c r="W72" s="4"/>
      <c r="X72" s="4"/>
      <c r="Y72" s="4"/>
      <c r="Z72" s="4"/>
    </row>
    <row r="73">
      <c r="A73" s="23">
        <v>71.0</v>
      </c>
      <c r="B73" s="27" t="s">
        <v>253</v>
      </c>
      <c r="C73" s="26" t="s">
        <v>273</v>
      </c>
      <c r="D73" s="26">
        <v>4.0</v>
      </c>
      <c r="E73" s="26" t="s">
        <v>203</v>
      </c>
      <c r="F73" s="26">
        <v>76.588</v>
      </c>
      <c r="G73" s="1"/>
      <c r="H73" s="27" t="s">
        <v>253</v>
      </c>
      <c r="I73" s="24"/>
      <c r="J73" s="24"/>
      <c r="K73" s="27">
        <v>20.286946</v>
      </c>
      <c r="L73" s="27">
        <v>86.673998</v>
      </c>
      <c r="M73" s="27"/>
      <c r="N73" s="23"/>
      <c r="O73" s="30" t="s">
        <v>253</v>
      </c>
      <c r="P73" s="30" t="s">
        <v>274</v>
      </c>
      <c r="Q73" s="30" t="s">
        <v>275</v>
      </c>
      <c r="R73" s="31" t="s">
        <v>276</v>
      </c>
      <c r="S73" s="30">
        <v>78.5</v>
      </c>
      <c r="T73" s="4"/>
      <c r="U73" s="4"/>
      <c r="V73" s="4"/>
      <c r="W73" s="4"/>
      <c r="X73" s="4"/>
      <c r="Y73" s="4"/>
      <c r="Z73" s="4"/>
    </row>
    <row r="74">
      <c r="A74" s="23">
        <v>72.0</v>
      </c>
      <c r="B74" s="27" t="s">
        <v>221</v>
      </c>
      <c r="C74" s="26" t="s">
        <v>277</v>
      </c>
      <c r="D74" s="26">
        <v>6.0</v>
      </c>
      <c r="E74" s="26" t="s">
        <v>203</v>
      </c>
      <c r="F74" s="26">
        <v>56.78</v>
      </c>
      <c r="G74" s="1"/>
      <c r="H74" s="27" t="s">
        <v>221</v>
      </c>
      <c r="I74" s="27">
        <v>19.894859</v>
      </c>
      <c r="J74" s="27">
        <v>85.429795</v>
      </c>
      <c r="K74" s="27">
        <v>20.260296</v>
      </c>
      <c r="L74" s="27">
        <v>85.839452</v>
      </c>
      <c r="M74" s="27"/>
      <c r="N74" s="23"/>
      <c r="O74" s="30" t="s">
        <v>221</v>
      </c>
      <c r="P74" s="29" t="s">
        <v>204</v>
      </c>
      <c r="Q74" s="30" t="s">
        <v>278</v>
      </c>
      <c r="R74" s="31" t="s">
        <v>279</v>
      </c>
      <c r="S74" s="30">
        <v>64.0</v>
      </c>
      <c r="T74" s="4"/>
      <c r="U74" s="4"/>
      <c r="V74" s="4"/>
      <c r="W74" s="4"/>
      <c r="X74" s="4"/>
      <c r="Y74" s="4"/>
      <c r="Z74" s="4"/>
    </row>
    <row r="75">
      <c r="A75" s="8">
        <v>73.0</v>
      </c>
      <c r="B75" s="9" t="s">
        <v>135</v>
      </c>
      <c r="C75" s="10" t="s">
        <v>280</v>
      </c>
      <c r="D75" s="10">
        <v>6.0</v>
      </c>
      <c r="E75" s="10" t="s">
        <v>281</v>
      </c>
      <c r="F75" s="10">
        <v>124.48</v>
      </c>
      <c r="G75" s="1"/>
      <c r="H75" s="9" t="s">
        <v>135</v>
      </c>
      <c r="I75" s="9">
        <v>27.175255</v>
      </c>
      <c r="J75" s="9">
        <v>78.009816</v>
      </c>
      <c r="K75" s="9">
        <v>26.537036</v>
      </c>
      <c r="L75" s="9">
        <v>79.153905</v>
      </c>
      <c r="M75" s="9">
        <v>122.0</v>
      </c>
      <c r="N75" s="15"/>
      <c r="O75" s="11" t="s">
        <v>135</v>
      </c>
      <c r="P75" s="11"/>
      <c r="Q75" s="11" t="s">
        <v>282</v>
      </c>
      <c r="R75" s="11" t="s">
        <v>283</v>
      </c>
      <c r="S75" s="11">
        <v>122.0</v>
      </c>
      <c r="T75" s="4"/>
      <c r="U75" s="4"/>
      <c r="V75" s="4"/>
      <c r="W75" s="4"/>
      <c r="X75" s="4"/>
      <c r="Y75" s="4"/>
      <c r="Z75" s="4"/>
    </row>
    <row r="76">
      <c r="A76" s="8">
        <v>74.0</v>
      </c>
      <c r="B76" s="9" t="s">
        <v>284</v>
      </c>
      <c r="C76" s="10" t="s">
        <v>285</v>
      </c>
      <c r="D76" s="10">
        <v>6.0</v>
      </c>
      <c r="E76" s="10" t="s">
        <v>281</v>
      </c>
      <c r="F76" s="10">
        <v>160.21</v>
      </c>
      <c r="G76" s="1"/>
      <c r="H76" s="9" t="s">
        <v>284</v>
      </c>
      <c r="I76" s="9">
        <v>26.715563</v>
      </c>
      <c r="J76" s="9">
        <v>79.09171</v>
      </c>
      <c r="K76" s="9">
        <v>26.379609</v>
      </c>
      <c r="L76" s="9">
        <v>80.408615</v>
      </c>
      <c r="M76" s="9">
        <v>166.0</v>
      </c>
      <c r="N76" s="15"/>
      <c r="O76" s="11" t="s">
        <v>284</v>
      </c>
      <c r="P76" s="11"/>
      <c r="Q76" s="11" t="s">
        <v>286</v>
      </c>
      <c r="R76" s="11" t="s">
        <v>287</v>
      </c>
      <c r="S76" s="11">
        <v>166.0</v>
      </c>
      <c r="T76" s="4"/>
      <c r="U76" s="4"/>
      <c r="V76" s="4"/>
      <c r="W76" s="4"/>
      <c r="X76" s="4"/>
      <c r="Y76" s="4"/>
      <c r="Z76" s="4"/>
    </row>
    <row r="77">
      <c r="A77" s="21">
        <v>75.0</v>
      </c>
      <c r="B77" s="14"/>
      <c r="C77" s="10" t="s">
        <v>288</v>
      </c>
      <c r="D77" s="10">
        <v>4.0</v>
      </c>
      <c r="E77" s="10" t="s">
        <v>281</v>
      </c>
      <c r="F77" s="10">
        <v>84.708</v>
      </c>
      <c r="G77" s="1"/>
      <c r="H77" s="14"/>
      <c r="I77" s="14"/>
      <c r="J77" s="14"/>
      <c r="K77" s="9">
        <v>28.478588</v>
      </c>
      <c r="L77" s="9">
        <v>77.481369</v>
      </c>
      <c r="M77" s="9">
        <v>84.7</v>
      </c>
      <c r="N77" s="15"/>
      <c r="O77" s="17"/>
      <c r="P77" s="11"/>
      <c r="Q77" s="11" t="s">
        <v>289</v>
      </c>
      <c r="R77" s="11" t="s">
        <v>290</v>
      </c>
      <c r="S77" s="11">
        <v>84.7</v>
      </c>
      <c r="T77" s="4"/>
      <c r="U77" s="4"/>
      <c r="V77" s="4"/>
      <c r="W77" s="4"/>
      <c r="X77" s="4"/>
      <c r="Y77" s="4"/>
      <c r="Z77" s="4"/>
    </row>
    <row r="78">
      <c r="A78" s="8">
        <v>76.0</v>
      </c>
      <c r="B78" s="14"/>
      <c r="C78" s="10" t="s">
        <v>291</v>
      </c>
      <c r="D78" s="10">
        <v>6.0</v>
      </c>
      <c r="E78" s="10" t="s">
        <v>281</v>
      </c>
      <c r="F78" s="10">
        <v>72.644</v>
      </c>
      <c r="G78" s="1"/>
      <c r="H78" s="14"/>
      <c r="I78" s="9">
        <v>25.43533</v>
      </c>
      <c r="J78" s="9">
        <v>82.18906</v>
      </c>
      <c r="K78" s="9">
        <v>25.335649</v>
      </c>
      <c r="L78" s="9">
        <v>83.007629</v>
      </c>
      <c r="M78" s="9">
        <v>83.0</v>
      </c>
      <c r="N78" s="15"/>
      <c r="O78" s="17"/>
      <c r="P78" s="11"/>
      <c r="Q78" s="11" t="s">
        <v>292</v>
      </c>
      <c r="R78" s="11" t="s">
        <v>293</v>
      </c>
      <c r="S78" s="11">
        <v>83.0</v>
      </c>
      <c r="T78" s="4"/>
      <c r="U78" s="4"/>
      <c r="V78" s="4"/>
      <c r="W78" s="4"/>
      <c r="X78" s="4"/>
      <c r="Y78" s="4"/>
      <c r="Z78" s="4"/>
    </row>
    <row r="79">
      <c r="A79" s="8">
        <v>77.0</v>
      </c>
      <c r="B79" s="14"/>
      <c r="C79" s="10" t="s">
        <v>294</v>
      </c>
      <c r="D79" s="10">
        <v>4.0</v>
      </c>
      <c r="E79" s="10" t="s">
        <v>281</v>
      </c>
      <c r="F79" s="10">
        <v>17.0</v>
      </c>
      <c r="G79" s="1"/>
      <c r="H79" s="14"/>
      <c r="I79" s="9">
        <v>25.381487</v>
      </c>
      <c r="J79" s="9">
        <v>83.053391</v>
      </c>
      <c r="K79" s="35"/>
      <c r="L79" s="14"/>
      <c r="M79" s="9">
        <v>20.0</v>
      </c>
      <c r="N79" s="15"/>
      <c r="O79" s="17"/>
      <c r="P79" s="11"/>
      <c r="Q79" s="11" t="s">
        <v>295</v>
      </c>
      <c r="R79" s="11" t="s">
        <v>296</v>
      </c>
      <c r="S79" s="11">
        <v>20.0</v>
      </c>
      <c r="T79" s="4"/>
      <c r="U79" s="4"/>
      <c r="V79" s="4"/>
      <c r="W79" s="4"/>
      <c r="X79" s="4"/>
      <c r="Y79" s="4"/>
      <c r="Z79" s="4"/>
    </row>
    <row r="80">
      <c r="A80" s="21">
        <v>78.0</v>
      </c>
      <c r="B80" s="9" t="s">
        <v>135</v>
      </c>
      <c r="C80" s="10" t="s">
        <v>297</v>
      </c>
      <c r="D80" s="10">
        <v>4.0</v>
      </c>
      <c r="E80" s="10" t="s">
        <v>281</v>
      </c>
      <c r="F80" s="10">
        <v>16.98</v>
      </c>
      <c r="G80" s="1"/>
      <c r="H80" s="9" t="s">
        <v>135</v>
      </c>
      <c r="I80" s="14"/>
      <c r="J80" s="14"/>
      <c r="K80" s="14"/>
      <c r="L80" s="14"/>
      <c r="M80" s="9">
        <v>16.0</v>
      </c>
      <c r="N80" s="15"/>
      <c r="O80" s="11" t="s">
        <v>135</v>
      </c>
      <c r="P80" s="11"/>
      <c r="Q80" s="11" t="s">
        <v>298</v>
      </c>
      <c r="R80" s="11" t="s">
        <v>299</v>
      </c>
      <c r="S80" s="11">
        <v>16.0</v>
      </c>
      <c r="T80" s="4"/>
      <c r="U80" s="4"/>
      <c r="V80" s="4"/>
      <c r="W80" s="4"/>
      <c r="X80" s="4"/>
      <c r="Y80" s="4"/>
      <c r="Z80" s="4"/>
    </row>
    <row r="81">
      <c r="A81" s="21">
        <v>79.0</v>
      </c>
      <c r="B81" s="9" t="s">
        <v>135</v>
      </c>
      <c r="C81" s="10" t="s">
        <v>300</v>
      </c>
      <c r="D81" s="10">
        <v>4.0</v>
      </c>
      <c r="E81" s="10" t="s">
        <v>281</v>
      </c>
      <c r="F81" s="10">
        <v>32.8</v>
      </c>
      <c r="G81" s="1"/>
      <c r="H81" s="9" t="s">
        <v>135</v>
      </c>
      <c r="I81" s="14"/>
      <c r="J81" s="14"/>
      <c r="K81" s="14"/>
      <c r="L81" s="14"/>
      <c r="M81" s="9">
        <v>28.8</v>
      </c>
      <c r="N81" s="15"/>
      <c r="O81" s="11" t="s">
        <v>135</v>
      </c>
      <c r="P81" s="11"/>
      <c r="Q81" s="11" t="s">
        <v>301</v>
      </c>
      <c r="R81" s="11" t="s">
        <v>302</v>
      </c>
      <c r="S81" s="11">
        <v>28.8</v>
      </c>
      <c r="T81" s="4"/>
      <c r="U81" s="4"/>
      <c r="V81" s="4"/>
      <c r="W81" s="4"/>
      <c r="X81" s="4"/>
      <c r="Y81" s="4"/>
      <c r="Z81" s="4"/>
    </row>
    <row r="82">
      <c r="A82" s="21">
        <v>80.0</v>
      </c>
      <c r="B82" s="14"/>
      <c r="C82" s="10" t="s">
        <v>303</v>
      </c>
      <c r="D82" s="10">
        <v>4.0</v>
      </c>
      <c r="E82" s="10" t="s">
        <v>281</v>
      </c>
      <c r="F82" s="10">
        <v>49.7</v>
      </c>
      <c r="G82" s="1"/>
      <c r="H82" s="14"/>
      <c r="I82" s="9">
        <v>25.529855</v>
      </c>
      <c r="J82" s="9">
        <v>78.65278</v>
      </c>
      <c r="K82" s="9">
        <v>26.46352</v>
      </c>
      <c r="L82" s="9">
        <v>80.246895</v>
      </c>
      <c r="M82" s="9">
        <v>48.7</v>
      </c>
      <c r="N82" s="15"/>
      <c r="O82" s="17"/>
      <c r="P82" s="11"/>
      <c r="Q82" s="11" t="s">
        <v>304</v>
      </c>
      <c r="R82" s="11" t="s">
        <v>305</v>
      </c>
      <c r="S82" s="11">
        <v>48.7</v>
      </c>
      <c r="T82" s="4"/>
      <c r="U82" s="4"/>
      <c r="V82" s="4"/>
      <c r="W82" s="4"/>
      <c r="X82" s="4"/>
      <c r="Y82" s="4"/>
      <c r="Z82" s="4"/>
    </row>
    <row r="83">
      <c r="A83" s="21">
        <v>81.0</v>
      </c>
      <c r="B83" s="14"/>
      <c r="C83" s="10" t="s">
        <v>306</v>
      </c>
      <c r="D83" s="10">
        <v>4.0</v>
      </c>
      <c r="E83" s="10" t="s">
        <v>281</v>
      </c>
      <c r="F83" s="10">
        <v>49.3</v>
      </c>
      <c r="G83" s="1"/>
      <c r="H83" s="14"/>
      <c r="I83" s="9">
        <v>25.529855</v>
      </c>
      <c r="J83" s="9">
        <v>78.65278</v>
      </c>
      <c r="K83" s="14"/>
      <c r="L83" s="14"/>
      <c r="M83" s="9">
        <v>47.0</v>
      </c>
      <c r="N83" s="15"/>
      <c r="O83" s="17"/>
      <c r="P83" s="11"/>
      <c r="Q83" s="11" t="s">
        <v>307</v>
      </c>
      <c r="R83" s="11" t="s">
        <v>308</v>
      </c>
      <c r="S83" s="11">
        <v>47.0</v>
      </c>
      <c r="T83" s="4"/>
      <c r="U83" s="4"/>
      <c r="V83" s="4"/>
      <c r="W83" s="4"/>
      <c r="X83" s="4"/>
      <c r="Y83" s="4"/>
      <c r="Z83" s="4"/>
    </row>
    <row r="84">
      <c r="A84" s="21">
        <v>82.0</v>
      </c>
      <c r="B84" s="9" t="s">
        <v>22</v>
      </c>
      <c r="C84" s="10" t="s">
        <v>309</v>
      </c>
      <c r="D84" s="10">
        <v>4.0</v>
      </c>
      <c r="E84" s="10" t="s">
        <v>281</v>
      </c>
      <c r="F84" s="10">
        <v>135.41</v>
      </c>
      <c r="G84" s="1"/>
      <c r="H84" s="9" t="s">
        <v>22</v>
      </c>
      <c r="I84" s="9">
        <v>25.529855</v>
      </c>
      <c r="J84" s="9">
        <v>78.65278</v>
      </c>
      <c r="K84" s="9">
        <v>28.370255</v>
      </c>
      <c r="L84" s="9">
        <v>77.549161</v>
      </c>
      <c r="M84" s="9">
        <v>135.0</v>
      </c>
      <c r="N84" s="15"/>
      <c r="O84" s="11" t="s">
        <v>22</v>
      </c>
      <c r="P84" s="11" t="s">
        <v>22</v>
      </c>
      <c r="Q84" s="36" t="s">
        <v>310</v>
      </c>
      <c r="R84" s="11" t="s">
        <v>311</v>
      </c>
      <c r="S84" s="11">
        <v>135.0</v>
      </c>
      <c r="T84" s="4"/>
      <c r="U84" s="4"/>
      <c r="V84" s="4"/>
      <c r="W84" s="4"/>
      <c r="X84" s="4"/>
      <c r="Y84" s="4"/>
      <c r="Z84" s="4"/>
    </row>
    <row r="85">
      <c r="A85" s="21">
        <v>83.0</v>
      </c>
      <c r="B85" s="9" t="s">
        <v>312</v>
      </c>
      <c r="C85" s="10" t="s">
        <v>313</v>
      </c>
      <c r="D85" s="10">
        <v>4.0</v>
      </c>
      <c r="E85" s="10" t="s">
        <v>281</v>
      </c>
      <c r="F85" s="10">
        <v>62.8</v>
      </c>
      <c r="G85" s="1"/>
      <c r="H85" s="9" t="s">
        <v>312</v>
      </c>
      <c r="I85" s="9">
        <v>25.935955</v>
      </c>
      <c r="J85" s="9">
        <v>79.424328</v>
      </c>
      <c r="K85" s="9">
        <v>26.46352</v>
      </c>
      <c r="L85" s="9">
        <v>80.246895</v>
      </c>
      <c r="M85" s="9">
        <v>65.0</v>
      </c>
      <c r="N85" s="15"/>
      <c r="O85" s="11" t="s">
        <v>312</v>
      </c>
      <c r="P85" s="11"/>
      <c r="Q85" s="11" t="s">
        <v>314</v>
      </c>
      <c r="R85" s="11" t="s">
        <v>315</v>
      </c>
      <c r="S85" s="11">
        <v>65.0</v>
      </c>
      <c r="T85" s="4"/>
      <c r="U85" s="4"/>
      <c r="V85" s="4"/>
      <c r="W85" s="4"/>
      <c r="X85" s="4"/>
      <c r="Y85" s="4"/>
      <c r="Z85" s="4"/>
    </row>
    <row r="86">
      <c r="A86" s="21">
        <v>84.0</v>
      </c>
      <c r="B86" s="14"/>
      <c r="C86" s="10" t="s">
        <v>316</v>
      </c>
      <c r="D86" s="10">
        <v>4.0</v>
      </c>
      <c r="E86" s="10" t="s">
        <v>281</v>
      </c>
      <c r="F86" s="10">
        <v>217.315</v>
      </c>
      <c r="G86" s="1"/>
      <c r="H86" s="14"/>
      <c r="I86" s="9">
        <v>26.460914</v>
      </c>
      <c r="J86" s="9">
        <v>80.321759</v>
      </c>
      <c r="K86" s="9">
        <v>28.370448</v>
      </c>
      <c r="L86" s="9">
        <v>77.549224</v>
      </c>
      <c r="M86" s="9">
        <v>217.0</v>
      </c>
      <c r="N86" s="15"/>
      <c r="O86" s="17"/>
      <c r="P86" s="11"/>
      <c r="Q86" s="11" t="s">
        <v>317</v>
      </c>
      <c r="R86" s="11" t="s">
        <v>318</v>
      </c>
      <c r="S86" s="11">
        <v>217.0</v>
      </c>
      <c r="T86" s="4"/>
      <c r="U86" s="4"/>
      <c r="V86" s="4"/>
      <c r="W86" s="4"/>
      <c r="X86" s="4"/>
      <c r="Y86" s="4"/>
      <c r="Z86" s="4"/>
    </row>
    <row r="87">
      <c r="A87" s="21">
        <v>85.0</v>
      </c>
      <c r="B87" s="9" t="s">
        <v>40</v>
      </c>
      <c r="C87" s="10" t="s">
        <v>319</v>
      </c>
      <c r="D87" s="10">
        <v>4.0</v>
      </c>
      <c r="E87" s="10" t="s">
        <v>281</v>
      </c>
      <c r="F87" s="10">
        <v>14.71</v>
      </c>
      <c r="G87" s="1"/>
      <c r="H87" s="9" t="s">
        <v>40</v>
      </c>
      <c r="I87" s="9">
        <v>26.90356</v>
      </c>
      <c r="J87" s="9">
        <v>80.962603</v>
      </c>
      <c r="K87" s="14"/>
      <c r="L87" s="14"/>
      <c r="M87" s="9">
        <v>15.3</v>
      </c>
      <c r="N87" s="15"/>
      <c r="O87" s="11" t="s">
        <v>40</v>
      </c>
      <c r="P87" s="11"/>
      <c r="Q87" s="11" t="s">
        <v>320</v>
      </c>
      <c r="R87" s="11" t="s">
        <v>321</v>
      </c>
      <c r="S87" s="11">
        <v>15.3</v>
      </c>
      <c r="T87" s="4"/>
      <c r="U87" s="4"/>
      <c r="V87" s="4"/>
      <c r="W87" s="4"/>
      <c r="X87" s="4"/>
      <c r="Y87" s="4"/>
      <c r="Z87" s="4"/>
    </row>
    <row r="88">
      <c r="A88" s="21">
        <v>86.0</v>
      </c>
      <c r="B88" s="9" t="s">
        <v>40</v>
      </c>
      <c r="C88" s="10" t="s">
        <v>322</v>
      </c>
      <c r="D88" s="10">
        <v>4.0</v>
      </c>
      <c r="E88" s="10" t="s">
        <v>281</v>
      </c>
      <c r="F88" s="10">
        <v>116.1</v>
      </c>
      <c r="G88" s="1"/>
      <c r="H88" s="9" t="s">
        <v>40</v>
      </c>
      <c r="I88" s="9">
        <v>26.799071</v>
      </c>
      <c r="J88" s="9">
        <v>82.205232</v>
      </c>
      <c r="K88" s="9">
        <v>28.524633</v>
      </c>
      <c r="L88" s="9">
        <v>77.574324</v>
      </c>
      <c r="M88" s="9">
        <v>116.0</v>
      </c>
      <c r="N88" s="15"/>
      <c r="O88" s="11" t="s">
        <v>40</v>
      </c>
      <c r="P88" s="11" t="s">
        <v>22</v>
      </c>
      <c r="Q88" s="11" t="s">
        <v>323</v>
      </c>
      <c r="R88" s="11" t="s">
        <v>324</v>
      </c>
      <c r="S88" s="11">
        <v>116.0</v>
      </c>
      <c r="T88" s="4"/>
      <c r="U88" s="4"/>
      <c r="V88" s="4"/>
      <c r="W88" s="4"/>
      <c r="X88" s="4"/>
      <c r="Y88" s="4"/>
      <c r="Z88" s="4"/>
    </row>
    <row r="89">
      <c r="A89" s="37">
        <v>87.0</v>
      </c>
      <c r="B89" s="37" t="s">
        <v>325</v>
      </c>
      <c r="C89" s="37" t="s">
        <v>326</v>
      </c>
      <c r="D89" s="37">
        <v>4.0</v>
      </c>
      <c r="E89" s="37" t="s">
        <v>281</v>
      </c>
      <c r="F89" s="37">
        <v>17.66</v>
      </c>
      <c r="G89" s="1"/>
      <c r="H89" s="37" t="s">
        <v>325</v>
      </c>
      <c r="I89" s="37">
        <v>26.667798</v>
      </c>
      <c r="J89" s="37">
        <v>83.364233</v>
      </c>
      <c r="K89" s="38"/>
      <c r="L89" s="38"/>
      <c r="M89" s="38"/>
      <c r="N89" s="15"/>
      <c r="O89" s="37" t="s">
        <v>325</v>
      </c>
      <c r="P89" s="38"/>
      <c r="Q89" s="38"/>
      <c r="R89" s="38"/>
      <c r="S89" s="38"/>
      <c r="T89" s="4"/>
      <c r="U89" s="4"/>
      <c r="V89" s="4"/>
      <c r="W89" s="4"/>
      <c r="X89" s="4"/>
      <c r="Y89" s="4"/>
      <c r="Z89" s="4"/>
    </row>
    <row r="90">
      <c r="A90" s="21">
        <v>88.0</v>
      </c>
      <c r="B90" s="9" t="s">
        <v>40</v>
      </c>
      <c r="C90" s="10" t="s">
        <v>327</v>
      </c>
      <c r="D90" s="10">
        <v>4.0</v>
      </c>
      <c r="E90" s="10" t="s">
        <v>281</v>
      </c>
      <c r="F90" s="10">
        <v>32.27</v>
      </c>
      <c r="G90" s="1"/>
      <c r="H90" s="9" t="s">
        <v>40</v>
      </c>
      <c r="I90" s="14"/>
      <c r="J90" s="14"/>
      <c r="K90" s="14"/>
      <c r="L90" s="14"/>
      <c r="M90" s="9">
        <v>32.3</v>
      </c>
      <c r="N90" s="15"/>
      <c r="O90" s="11" t="s">
        <v>40</v>
      </c>
      <c r="P90" s="11"/>
      <c r="Q90" s="11" t="s">
        <v>328</v>
      </c>
      <c r="R90" s="11" t="s">
        <v>329</v>
      </c>
      <c r="S90" s="11">
        <v>32.3</v>
      </c>
      <c r="T90" s="4"/>
      <c r="U90" s="4"/>
      <c r="V90" s="4"/>
      <c r="W90" s="4"/>
      <c r="X90" s="4"/>
      <c r="Y90" s="4"/>
      <c r="Z90" s="4"/>
    </row>
    <row r="91">
      <c r="A91" s="21">
        <v>89.0</v>
      </c>
      <c r="B91" s="14"/>
      <c r="C91" s="10" t="s">
        <v>330</v>
      </c>
      <c r="D91" s="10">
        <v>4.0</v>
      </c>
      <c r="E91" s="10" t="s">
        <v>281</v>
      </c>
      <c r="F91" s="10">
        <v>81.12</v>
      </c>
      <c r="G91" s="1"/>
      <c r="H91" s="14"/>
      <c r="I91" s="9">
        <v>26.667798</v>
      </c>
      <c r="J91" s="9">
        <v>83.364233</v>
      </c>
      <c r="K91" s="9">
        <v>26.842091</v>
      </c>
      <c r="L91" s="9">
        <v>80.947821</v>
      </c>
      <c r="M91" s="9">
        <v>76.7</v>
      </c>
      <c r="N91" s="15"/>
      <c r="O91" s="17"/>
      <c r="P91" s="11"/>
      <c r="Q91" s="11" t="s">
        <v>331</v>
      </c>
      <c r="R91" s="11" t="s">
        <v>332</v>
      </c>
      <c r="S91" s="11">
        <v>76.7</v>
      </c>
      <c r="T91" s="4"/>
      <c r="U91" s="4"/>
      <c r="V91" s="4"/>
      <c r="W91" s="4"/>
      <c r="X91" s="4"/>
      <c r="Y91" s="4"/>
      <c r="Z91" s="4"/>
    </row>
    <row r="92">
      <c r="A92" s="21">
        <v>90.0</v>
      </c>
      <c r="B92" s="14"/>
      <c r="C92" s="10" t="s">
        <v>333</v>
      </c>
      <c r="D92" s="10">
        <v>4.0</v>
      </c>
      <c r="E92" s="10" t="s">
        <v>281</v>
      </c>
      <c r="F92" s="10">
        <v>43.4</v>
      </c>
      <c r="G92" s="1"/>
      <c r="H92" s="14"/>
      <c r="I92" s="9">
        <v>25.992939</v>
      </c>
      <c r="J92" s="9">
        <v>81.660411</v>
      </c>
      <c r="K92" s="9">
        <v>26.796123</v>
      </c>
      <c r="L92" s="9">
        <v>82.194286</v>
      </c>
      <c r="M92" s="14"/>
      <c r="N92" s="15"/>
      <c r="O92" s="17"/>
      <c r="P92" s="11"/>
      <c r="Q92" s="11" t="s">
        <v>334</v>
      </c>
      <c r="R92" s="11" t="s">
        <v>335</v>
      </c>
      <c r="S92" s="11">
        <v>227.0</v>
      </c>
      <c r="T92" s="4"/>
      <c r="U92" s="4"/>
      <c r="V92" s="4"/>
      <c r="W92" s="4"/>
      <c r="X92" s="4"/>
      <c r="Y92" s="4"/>
      <c r="Z92" s="4"/>
    </row>
    <row r="93">
      <c r="A93" s="21">
        <v>91.0</v>
      </c>
      <c r="B93" s="14"/>
      <c r="C93" s="10" t="s">
        <v>336</v>
      </c>
      <c r="D93" s="10">
        <v>4.0</v>
      </c>
      <c r="E93" s="10" t="s">
        <v>281</v>
      </c>
      <c r="F93" s="10">
        <v>47.7</v>
      </c>
      <c r="G93" s="1"/>
      <c r="H93" s="14"/>
      <c r="I93" s="14"/>
      <c r="J93" s="14"/>
      <c r="K93" s="9">
        <v>25.992939</v>
      </c>
      <c r="L93" s="9">
        <v>81.660411</v>
      </c>
      <c r="M93" s="9">
        <v>54.0</v>
      </c>
      <c r="N93" s="15"/>
      <c r="O93" s="17"/>
      <c r="P93" s="11"/>
      <c r="Q93" s="11" t="s">
        <v>337</v>
      </c>
      <c r="R93" s="11" t="s">
        <v>338</v>
      </c>
      <c r="S93" s="11">
        <v>54.0</v>
      </c>
      <c r="T93" s="4"/>
      <c r="U93" s="4"/>
      <c r="V93" s="4"/>
      <c r="W93" s="4"/>
      <c r="X93" s="4"/>
      <c r="Y93" s="4"/>
      <c r="Z93" s="4"/>
    </row>
    <row r="94">
      <c r="A94" s="8">
        <v>92.0</v>
      </c>
      <c r="B94" s="9" t="s">
        <v>339</v>
      </c>
      <c r="C94" s="10" t="s">
        <v>340</v>
      </c>
      <c r="D94" s="10">
        <v>4.0</v>
      </c>
      <c r="E94" s="10" t="s">
        <v>281</v>
      </c>
      <c r="F94" s="10">
        <v>121.8</v>
      </c>
      <c r="G94" s="1"/>
      <c r="H94" s="9" t="s">
        <v>339</v>
      </c>
      <c r="I94" s="9">
        <v>28.833498</v>
      </c>
      <c r="J94" s="9">
        <v>78.773286</v>
      </c>
      <c r="K94" s="9">
        <v>28.458234</v>
      </c>
      <c r="L94" s="9">
        <v>79.404745</v>
      </c>
      <c r="M94" s="14"/>
      <c r="N94" s="15"/>
      <c r="O94" s="11" t="s">
        <v>339</v>
      </c>
      <c r="P94" s="11" t="s">
        <v>341</v>
      </c>
      <c r="Q94" s="11" t="s">
        <v>342</v>
      </c>
      <c r="R94" s="11" t="s">
        <v>343</v>
      </c>
      <c r="S94" s="11">
        <v>122.0</v>
      </c>
      <c r="T94" s="4"/>
      <c r="U94" s="4"/>
      <c r="V94" s="4"/>
      <c r="W94" s="4"/>
      <c r="X94" s="4"/>
      <c r="Y94" s="4"/>
      <c r="Z94" s="4"/>
    </row>
    <row r="95">
      <c r="A95" s="8">
        <v>93.0</v>
      </c>
      <c r="B95" s="14"/>
      <c r="C95" s="10" t="s">
        <v>344</v>
      </c>
      <c r="D95" s="10">
        <v>4.0</v>
      </c>
      <c r="E95" s="10" t="s">
        <v>281</v>
      </c>
      <c r="F95" s="10">
        <v>75.93</v>
      </c>
      <c r="G95" s="1"/>
      <c r="H95" s="14"/>
      <c r="I95" s="9">
        <v>26.8381</v>
      </c>
      <c r="J95" s="9">
        <v>80.9346</v>
      </c>
      <c r="K95" s="9">
        <v>27.502675</v>
      </c>
      <c r="L95" s="9">
        <v>80.833514</v>
      </c>
      <c r="M95" s="9">
        <v>80.0</v>
      </c>
      <c r="N95" s="15"/>
      <c r="O95" s="17"/>
      <c r="P95" s="11"/>
      <c r="Q95" s="11" t="s">
        <v>345</v>
      </c>
      <c r="R95" s="11" t="s">
        <v>346</v>
      </c>
      <c r="S95" s="11">
        <v>80.0</v>
      </c>
      <c r="T95" s="4"/>
      <c r="U95" s="4"/>
      <c r="V95" s="4"/>
      <c r="W95" s="4"/>
      <c r="X95" s="4"/>
      <c r="Y95" s="4"/>
      <c r="Z95" s="4"/>
    </row>
    <row r="96">
      <c r="A96" s="8">
        <v>94.0</v>
      </c>
      <c r="B96" s="14"/>
      <c r="C96" s="10" t="s">
        <v>347</v>
      </c>
      <c r="D96" s="10">
        <v>4.0</v>
      </c>
      <c r="E96" s="10" t="s">
        <v>281</v>
      </c>
      <c r="F96" s="10">
        <v>126.3</v>
      </c>
      <c r="G96" s="1"/>
      <c r="H96" s="14"/>
      <c r="I96" s="9">
        <v>28.774997</v>
      </c>
      <c r="J96" s="9">
        <v>77.458697</v>
      </c>
      <c r="K96" s="9">
        <v>27.876107</v>
      </c>
      <c r="L96" s="9">
        <v>78.135815</v>
      </c>
      <c r="M96" s="9">
        <v>125.0</v>
      </c>
      <c r="N96" s="15"/>
      <c r="O96" s="17"/>
      <c r="P96" s="11"/>
      <c r="Q96" s="11" t="s">
        <v>348</v>
      </c>
      <c r="R96" s="11" t="s">
        <v>349</v>
      </c>
      <c r="S96" s="11">
        <v>125.0</v>
      </c>
      <c r="T96" s="4"/>
      <c r="U96" s="4"/>
      <c r="V96" s="4"/>
      <c r="W96" s="4"/>
      <c r="X96" s="4"/>
      <c r="Y96" s="4"/>
      <c r="Z96" s="4"/>
    </row>
    <row r="97">
      <c r="A97" s="8">
        <v>95.0</v>
      </c>
      <c r="B97" s="14"/>
      <c r="C97" s="10" t="s">
        <v>350</v>
      </c>
      <c r="D97" s="10">
        <v>4.0</v>
      </c>
      <c r="E97" s="10" t="s">
        <v>281</v>
      </c>
      <c r="F97" s="10">
        <v>45.2</v>
      </c>
      <c r="G97" s="1"/>
      <c r="H97" s="14"/>
      <c r="I97" s="9">
        <v>27.876107</v>
      </c>
      <c r="J97" s="9">
        <v>78.135815</v>
      </c>
      <c r="K97" s="9">
        <v>29.163916</v>
      </c>
      <c r="L97" s="9">
        <v>78.899212</v>
      </c>
      <c r="M97" s="9">
        <v>239.0</v>
      </c>
      <c r="N97" s="15"/>
      <c r="O97" s="17"/>
      <c r="P97" s="11"/>
      <c r="Q97" s="11" t="s">
        <v>351</v>
      </c>
      <c r="R97" s="11" t="s">
        <v>352</v>
      </c>
      <c r="S97" s="11">
        <v>239.0</v>
      </c>
      <c r="T97" s="4"/>
      <c r="U97" s="4"/>
      <c r="V97" s="4"/>
      <c r="W97" s="4"/>
      <c r="X97" s="4"/>
      <c r="Y97" s="4"/>
      <c r="Z97" s="4"/>
    </row>
    <row r="98">
      <c r="A98" s="8">
        <v>96.0</v>
      </c>
      <c r="B98" s="14"/>
      <c r="C98" s="10" t="s">
        <v>353</v>
      </c>
      <c r="D98" s="10">
        <v>4.0</v>
      </c>
      <c r="E98" s="10" t="s">
        <v>281</v>
      </c>
      <c r="F98" s="10">
        <v>61.2</v>
      </c>
      <c r="G98" s="1"/>
      <c r="H98" s="14"/>
      <c r="I98" s="9">
        <v>27.876107</v>
      </c>
      <c r="J98" s="9">
        <v>78.135815</v>
      </c>
      <c r="K98" s="9">
        <v>27.189236</v>
      </c>
      <c r="L98" s="9">
        <v>79.383696</v>
      </c>
      <c r="M98" s="9">
        <v>133.0</v>
      </c>
      <c r="N98" s="15"/>
      <c r="O98" s="17"/>
      <c r="P98" s="11"/>
      <c r="Q98" s="11" t="s">
        <v>354</v>
      </c>
      <c r="R98" s="11" t="s">
        <v>355</v>
      </c>
      <c r="S98" s="11">
        <v>133.0</v>
      </c>
      <c r="T98" s="4"/>
      <c r="U98" s="4"/>
      <c r="V98" s="4"/>
      <c r="W98" s="4"/>
      <c r="X98" s="4"/>
      <c r="Y98" s="4"/>
      <c r="Z98" s="4"/>
    </row>
    <row r="99">
      <c r="A99" s="8">
        <v>97.0</v>
      </c>
      <c r="B99" s="9" t="s">
        <v>356</v>
      </c>
      <c r="C99" s="10" t="s">
        <v>357</v>
      </c>
      <c r="D99" s="10">
        <v>4.0</v>
      </c>
      <c r="E99" s="10" t="s">
        <v>281</v>
      </c>
      <c r="F99" s="10">
        <v>61.41</v>
      </c>
      <c r="G99" s="1"/>
      <c r="H99" s="9" t="s">
        <v>356</v>
      </c>
      <c r="I99" s="14"/>
      <c r="J99" s="14"/>
      <c r="K99" s="14"/>
      <c r="L99" s="14"/>
      <c r="M99" s="14"/>
      <c r="N99" s="15"/>
      <c r="O99" s="11" t="s">
        <v>356</v>
      </c>
      <c r="P99" s="17"/>
      <c r="Q99" s="11" t="s">
        <v>358</v>
      </c>
      <c r="R99" s="11" t="s">
        <v>359</v>
      </c>
      <c r="S99" s="11">
        <v>63.0</v>
      </c>
      <c r="T99" s="4"/>
      <c r="U99" s="4"/>
      <c r="V99" s="4"/>
      <c r="W99" s="4"/>
      <c r="X99" s="4"/>
      <c r="Y99" s="4"/>
      <c r="Z99" s="4"/>
    </row>
    <row r="100">
      <c r="A100" s="8">
        <v>98.0</v>
      </c>
      <c r="B100" s="14"/>
      <c r="C100" s="10" t="s">
        <v>360</v>
      </c>
      <c r="D100" s="10">
        <v>4.0</v>
      </c>
      <c r="E100" s="10" t="s">
        <v>281</v>
      </c>
      <c r="F100" s="10">
        <v>70.0</v>
      </c>
      <c r="G100" s="1"/>
      <c r="H100" s="14"/>
      <c r="I100" s="9">
        <v>26.8381</v>
      </c>
      <c r="J100" s="9">
        <v>80.9346</v>
      </c>
      <c r="K100" s="14"/>
      <c r="L100" s="14"/>
      <c r="M100" s="9">
        <v>80.0</v>
      </c>
      <c r="N100" s="15"/>
      <c r="O100" s="17"/>
      <c r="P100" s="11"/>
      <c r="Q100" s="11" t="s">
        <v>361</v>
      </c>
      <c r="R100" s="11" t="s">
        <v>362</v>
      </c>
      <c r="S100" s="11">
        <v>80.0</v>
      </c>
      <c r="T100" s="4"/>
      <c r="U100" s="4"/>
      <c r="V100" s="4"/>
      <c r="W100" s="4"/>
      <c r="X100" s="4"/>
      <c r="Y100" s="4"/>
      <c r="Z100" s="4"/>
    </row>
    <row r="101">
      <c r="A101" s="8">
        <v>99.0</v>
      </c>
      <c r="B101" s="14"/>
      <c r="C101" s="10" t="s">
        <v>363</v>
      </c>
      <c r="D101" s="10">
        <v>4.0</v>
      </c>
      <c r="E101" s="10" t="s">
        <v>281</v>
      </c>
      <c r="F101" s="10">
        <v>35.78</v>
      </c>
      <c r="G101" s="1"/>
      <c r="H101" s="14"/>
      <c r="I101" s="9">
        <v>29.390556</v>
      </c>
      <c r="J101" s="9">
        <v>77.136359</v>
      </c>
      <c r="K101" s="9">
        <v>29.481151</v>
      </c>
      <c r="L101" s="9">
        <v>77.290134</v>
      </c>
      <c r="M101" s="9">
        <v>44.0</v>
      </c>
      <c r="N101" s="15"/>
      <c r="O101" s="17"/>
      <c r="P101" s="11"/>
      <c r="Q101" s="11" t="s">
        <v>364</v>
      </c>
      <c r="R101" s="11" t="s">
        <v>364</v>
      </c>
      <c r="S101" s="11">
        <v>44.0</v>
      </c>
      <c r="T101" s="4"/>
      <c r="U101" s="4"/>
      <c r="V101" s="4"/>
      <c r="W101" s="4"/>
      <c r="X101" s="4"/>
      <c r="Y101" s="4"/>
      <c r="Z101" s="4"/>
    </row>
    <row r="102">
      <c r="A102" s="8">
        <v>100.0</v>
      </c>
      <c r="B102" s="9" t="s">
        <v>22</v>
      </c>
      <c r="C102" s="10" t="s">
        <v>365</v>
      </c>
      <c r="D102" s="10">
        <v>4.0</v>
      </c>
      <c r="E102" s="10" t="s">
        <v>281</v>
      </c>
      <c r="F102" s="10">
        <v>41.34</v>
      </c>
      <c r="G102" s="1"/>
      <c r="H102" s="9" t="s">
        <v>22</v>
      </c>
      <c r="I102" s="9">
        <v>25.43813</v>
      </c>
      <c r="J102" s="9">
        <v>81.8338</v>
      </c>
      <c r="K102" s="14"/>
      <c r="L102" s="14"/>
      <c r="M102" s="9">
        <v>50.0</v>
      </c>
      <c r="N102" s="15"/>
      <c r="O102" s="11" t="s">
        <v>22</v>
      </c>
      <c r="P102" s="11" t="s">
        <v>22</v>
      </c>
      <c r="Q102" s="11" t="s">
        <v>366</v>
      </c>
      <c r="R102" s="11" t="s">
        <v>367</v>
      </c>
      <c r="S102" s="11">
        <v>50.0</v>
      </c>
      <c r="T102" s="4"/>
      <c r="U102" s="4"/>
      <c r="V102" s="4"/>
      <c r="W102" s="4"/>
      <c r="X102" s="4"/>
      <c r="Y102" s="4"/>
      <c r="Z102" s="4"/>
    </row>
    <row r="103">
      <c r="A103" s="8">
        <v>101.0</v>
      </c>
      <c r="B103" s="9" t="s">
        <v>368</v>
      </c>
      <c r="C103" s="10" t="s">
        <v>369</v>
      </c>
      <c r="D103" s="10">
        <v>4.0</v>
      </c>
      <c r="E103" s="10" t="s">
        <v>281</v>
      </c>
      <c r="F103" s="10">
        <v>127.43</v>
      </c>
      <c r="G103" s="1"/>
      <c r="H103" s="9" t="s">
        <v>368</v>
      </c>
      <c r="I103" s="9">
        <v>26.8381</v>
      </c>
      <c r="J103" s="9">
        <v>80.9346</v>
      </c>
      <c r="K103" s="14"/>
      <c r="L103" s="14"/>
      <c r="M103" s="9">
        <v>133.0</v>
      </c>
      <c r="N103" s="15"/>
      <c r="O103" s="11" t="s">
        <v>368</v>
      </c>
      <c r="P103" s="11"/>
      <c r="Q103" s="11" t="s">
        <v>370</v>
      </c>
      <c r="R103" s="11" t="s">
        <v>371</v>
      </c>
      <c r="S103" s="11">
        <v>133.0</v>
      </c>
      <c r="T103" s="4"/>
      <c r="U103" s="4"/>
      <c r="V103" s="4"/>
      <c r="W103" s="4"/>
      <c r="X103" s="4"/>
      <c r="Y103" s="4"/>
      <c r="Z103" s="4"/>
    </row>
    <row r="104">
      <c r="A104" s="8">
        <v>102.0</v>
      </c>
      <c r="B104" s="9" t="s">
        <v>372</v>
      </c>
      <c r="C104" s="10" t="s">
        <v>373</v>
      </c>
      <c r="D104" s="10">
        <v>4.0</v>
      </c>
      <c r="E104" s="10" t="s">
        <v>281</v>
      </c>
      <c r="F104" s="10">
        <v>61.19</v>
      </c>
      <c r="G104" s="1"/>
      <c r="H104" s="9" t="s">
        <v>372</v>
      </c>
      <c r="I104" s="14"/>
      <c r="J104" s="14"/>
      <c r="K104" s="9">
        <v>28.524254</v>
      </c>
      <c r="L104" s="9">
        <v>77.599519</v>
      </c>
      <c r="M104" s="9">
        <v>66.0</v>
      </c>
      <c r="N104" s="15"/>
      <c r="O104" s="11" t="s">
        <v>372</v>
      </c>
      <c r="P104" s="11"/>
      <c r="Q104" s="11" t="s">
        <v>374</v>
      </c>
      <c r="R104" s="11" t="s">
        <v>375</v>
      </c>
      <c r="S104" s="11">
        <v>66.0</v>
      </c>
      <c r="T104" s="4"/>
      <c r="U104" s="4"/>
      <c r="V104" s="4"/>
      <c r="W104" s="4"/>
      <c r="X104" s="4"/>
      <c r="Y104" s="4"/>
      <c r="Z104" s="4"/>
    </row>
    <row r="105">
      <c r="A105" s="8">
        <v>103.0</v>
      </c>
      <c r="B105" s="14"/>
      <c r="C105" s="10" t="s">
        <v>376</v>
      </c>
      <c r="D105" s="10">
        <v>4.0</v>
      </c>
      <c r="E105" s="10" t="s">
        <v>281</v>
      </c>
      <c r="F105" s="10">
        <v>78.31</v>
      </c>
      <c r="G105" s="1"/>
      <c r="H105" s="14"/>
      <c r="I105" s="9">
        <v>29.001856</v>
      </c>
      <c r="J105" s="9">
        <v>77.767967</v>
      </c>
      <c r="K105" s="9">
        <v>29.449698</v>
      </c>
      <c r="L105" s="9">
        <v>77.742933</v>
      </c>
      <c r="M105" s="9">
        <v>56.0</v>
      </c>
      <c r="N105" s="15"/>
      <c r="O105" s="17"/>
      <c r="P105" s="11"/>
      <c r="Q105" s="11" t="s">
        <v>377</v>
      </c>
      <c r="R105" s="11" t="s">
        <v>378</v>
      </c>
      <c r="S105" s="11">
        <v>56.0</v>
      </c>
      <c r="T105" s="4"/>
      <c r="U105" s="4"/>
      <c r="V105" s="4"/>
      <c r="W105" s="4"/>
      <c r="X105" s="4"/>
      <c r="Y105" s="4"/>
      <c r="Z105" s="4"/>
    </row>
    <row r="106">
      <c r="A106" s="8">
        <v>104.0</v>
      </c>
      <c r="B106" s="14"/>
      <c r="C106" s="10" t="s">
        <v>379</v>
      </c>
      <c r="D106" s="10">
        <v>4.0</v>
      </c>
      <c r="E106" s="10" t="s">
        <v>281</v>
      </c>
      <c r="F106" s="10">
        <v>78.0</v>
      </c>
      <c r="G106" s="1"/>
      <c r="H106" s="14"/>
      <c r="I106" s="9">
        <v>29.001856</v>
      </c>
      <c r="J106" s="9">
        <v>77.767967</v>
      </c>
      <c r="K106" s="14"/>
      <c r="L106" s="14"/>
      <c r="M106" s="9">
        <v>56.0</v>
      </c>
      <c r="N106" s="15"/>
      <c r="O106" s="17"/>
      <c r="P106" s="11"/>
      <c r="Q106" s="11" t="s">
        <v>377</v>
      </c>
      <c r="R106" s="11" t="s">
        <v>378</v>
      </c>
      <c r="S106" s="11">
        <v>56.0</v>
      </c>
      <c r="T106" s="4"/>
      <c r="U106" s="4"/>
      <c r="V106" s="4"/>
      <c r="W106" s="4"/>
      <c r="X106" s="4"/>
      <c r="Y106" s="4"/>
      <c r="Z106" s="4"/>
    </row>
    <row r="107">
      <c r="A107" s="8">
        <v>105.0</v>
      </c>
      <c r="B107" s="14"/>
      <c r="C107" s="10" t="s">
        <v>380</v>
      </c>
      <c r="D107" s="10">
        <v>4.0</v>
      </c>
      <c r="E107" s="10" t="s">
        <v>281</v>
      </c>
      <c r="F107" s="10">
        <v>72.15</v>
      </c>
      <c r="G107" s="1"/>
      <c r="H107" s="14"/>
      <c r="I107" s="9">
        <v>25.335649</v>
      </c>
      <c r="J107" s="9">
        <v>83.007629</v>
      </c>
      <c r="K107" s="9">
        <v>28.456995</v>
      </c>
      <c r="L107" s="9">
        <v>77.500197</v>
      </c>
      <c r="M107" s="9">
        <v>86.0</v>
      </c>
      <c r="N107" s="15"/>
      <c r="O107" s="17"/>
      <c r="P107" s="11"/>
      <c r="Q107" s="11" t="s">
        <v>381</v>
      </c>
      <c r="R107" s="11" t="s">
        <v>382</v>
      </c>
      <c r="S107" s="11">
        <v>86.0</v>
      </c>
      <c r="T107" s="4"/>
      <c r="U107" s="4"/>
      <c r="V107" s="4"/>
      <c r="W107" s="4"/>
      <c r="X107" s="4"/>
      <c r="Y107" s="4"/>
      <c r="Z107" s="4"/>
    </row>
    <row r="108">
      <c r="A108" s="21">
        <v>106.0</v>
      </c>
      <c r="B108" s="9" t="s">
        <v>383</v>
      </c>
      <c r="C108" s="10" t="s">
        <v>384</v>
      </c>
      <c r="D108" s="10">
        <v>4.0</v>
      </c>
      <c r="E108" s="10" t="s">
        <v>281</v>
      </c>
      <c r="F108" s="10">
        <v>58.62</v>
      </c>
      <c r="G108" s="1"/>
      <c r="H108" s="9" t="s">
        <v>383</v>
      </c>
      <c r="I108" s="9">
        <v>26.255881</v>
      </c>
      <c r="J108" s="9">
        <v>83.731414</v>
      </c>
      <c r="K108" s="14"/>
      <c r="L108" s="14"/>
      <c r="M108" s="14"/>
      <c r="N108" s="15"/>
      <c r="O108" s="11" t="s">
        <v>383</v>
      </c>
      <c r="P108" s="17"/>
      <c r="Q108" s="11" t="s">
        <v>385</v>
      </c>
      <c r="R108" s="11" t="s">
        <v>386</v>
      </c>
      <c r="S108" s="11">
        <v>60.0</v>
      </c>
      <c r="T108" s="4"/>
      <c r="U108" s="4"/>
      <c r="V108" s="4"/>
      <c r="W108" s="4"/>
      <c r="X108" s="4"/>
      <c r="Y108" s="4"/>
      <c r="Z108" s="4"/>
    </row>
    <row r="109">
      <c r="A109" s="8">
        <v>107.0</v>
      </c>
      <c r="B109" s="9" t="s">
        <v>387</v>
      </c>
      <c r="C109" s="10" t="s">
        <v>388</v>
      </c>
      <c r="D109" s="10">
        <v>4.0</v>
      </c>
      <c r="E109" s="10" t="s">
        <v>281</v>
      </c>
      <c r="F109" s="10">
        <v>51.45</v>
      </c>
      <c r="G109" s="1"/>
      <c r="H109" s="9" t="s">
        <v>387</v>
      </c>
      <c r="I109" s="9">
        <v>29.974813</v>
      </c>
      <c r="J109" s="9">
        <v>77.663731</v>
      </c>
      <c r="K109" s="14"/>
      <c r="L109" s="14"/>
      <c r="M109" s="9">
        <v>45.0</v>
      </c>
      <c r="N109" s="15"/>
      <c r="O109" s="11" t="s">
        <v>387</v>
      </c>
      <c r="P109" s="11"/>
      <c r="Q109" s="11" t="s">
        <v>389</v>
      </c>
      <c r="R109" s="11" t="s">
        <v>390</v>
      </c>
      <c r="S109" s="11">
        <v>45.0</v>
      </c>
      <c r="T109" s="4"/>
      <c r="U109" s="4"/>
      <c r="V109" s="4"/>
      <c r="W109" s="4"/>
      <c r="X109" s="4"/>
      <c r="Y109" s="4"/>
      <c r="Z109" s="4"/>
    </row>
    <row r="110">
      <c r="A110" s="8">
        <v>108.0</v>
      </c>
      <c r="B110" s="9" t="s">
        <v>391</v>
      </c>
      <c r="C110" s="10" t="s">
        <v>392</v>
      </c>
      <c r="D110" s="10">
        <v>2.0</v>
      </c>
      <c r="E110" s="10" t="s">
        <v>281</v>
      </c>
      <c r="F110" s="10">
        <v>146.35</v>
      </c>
      <c r="G110" s="1"/>
      <c r="H110" s="9" t="s">
        <v>391</v>
      </c>
      <c r="I110" s="9">
        <v>27.876107</v>
      </c>
      <c r="J110" s="9">
        <v>78.135815</v>
      </c>
      <c r="K110" s="9">
        <v>28.879655</v>
      </c>
      <c r="L110" s="9">
        <v>78.809534</v>
      </c>
      <c r="M110" s="9">
        <v>156.0</v>
      </c>
      <c r="N110" s="15"/>
      <c r="O110" s="11" t="s">
        <v>391</v>
      </c>
      <c r="P110" s="11"/>
      <c r="Q110" s="11" t="s">
        <v>393</v>
      </c>
      <c r="R110" s="11" t="s">
        <v>394</v>
      </c>
      <c r="S110" s="11">
        <v>156.0</v>
      </c>
      <c r="T110" s="4"/>
      <c r="U110" s="4"/>
      <c r="V110" s="4"/>
      <c r="W110" s="4"/>
      <c r="X110" s="4"/>
      <c r="Y110" s="4"/>
      <c r="Z110" s="4"/>
    </row>
    <row r="111">
      <c r="A111" s="8">
        <v>109.0</v>
      </c>
      <c r="B111" s="9" t="s">
        <v>395</v>
      </c>
      <c r="C111" s="10" t="s">
        <v>396</v>
      </c>
      <c r="D111" s="10">
        <v>2.0</v>
      </c>
      <c r="E111" s="10" t="s">
        <v>281</v>
      </c>
      <c r="F111" s="10">
        <v>166.0</v>
      </c>
      <c r="G111" s="1"/>
      <c r="H111" s="9" t="s">
        <v>395</v>
      </c>
      <c r="I111" s="14"/>
      <c r="J111" s="14"/>
      <c r="K111" s="9">
        <v>25.796706</v>
      </c>
      <c r="L111" s="9">
        <v>82.488899</v>
      </c>
      <c r="M111" s="9">
        <v>193.0</v>
      </c>
      <c r="N111" s="15"/>
      <c r="O111" s="11" t="s">
        <v>395</v>
      </c>
      <c r="P111" s="11"/>
      <c r="Q111" s="11" t="s">
        <v>397</v>
      </c>
      <c r="R111" s="11" t="s">
        <v>398</v>
      </c>
      <c r="S111" s="11">
        <v>193.0</v>
      </c>
      <c r="T111" s="4"/>
      <c r="U111" s="4"/>
      <c r="V111" s="4"/>
      <c r="W111" s="4"/>
      <c r="X111" s="4"/>
      <c r="Y111" s="4"/>
      <c r="Z111" s="4"/>
    </row>
    <row r="112">
      <c r="A112" s="8">
        <v>110.0</v>
      </c>
      <c r="B112" s="9" t="s">
        <v>383</v>
      </c>
      <c r="C112" s="10" t="s">
        <v>399</v>
      </c>
      <c r="D112" s="10">
        <v>2.0</v>
      </c>
      <c r="E112" s="10" t="s">
        <v>281</v>
      </c>
      <c r="F112" s="10">
        <v>54.36</v>
      </c>
      <c r="G112" s="1"/>
      <c r="H112" s="9" t="s">
        <v>383</v>
      </c>
      <c r="I112" s="9">
        <v>26.957161</v>
      </c>
      <c r="J112" s="9">
        <v>82.862116</v>
      </c>
      <c r="K112" s="14"/>
      <c r="L112" s="14"/>
      <c r="M112" s="9">
        <v>35.0</v>
      </c>
      <c r="N112" s="15"/>
      <c r="O112" s="11" t="s">
        <v>383</v>
      </c>
      <c r="P112" s="11"/>
      <c r="Q112" s="11" t="s">
        <v>400</v>
      </c>
      <c r="R112" s="11" t="s">
        <v>401</v>
      </c>
      <c r="S112" s="11">
        <v>35.0</v>
      </c>
      <c r="T112" s="4"/>
      <c r="U112" s="4"/>
      <c r="V112" s="4"/>
      <c r="W112" s="4"/>
      <c r="X112" s="4"/>
      <c r="Y112" s="4"/>
      <c r="Z112" s="4"/>
    </row>
    <row r="113">
      <c r="A113" s="8">
        <v>111.0</v>
      </c>
      <c r="B113" s="14"/>
      <c r="C113" s="10" t="s">
        <v>402</v>
      </c>
      <c r="D113" s="10">
        <v>2.0</v>
      </c>
      <c r="E113" s="10" t="s">
        <v>281</v>
      </c>
      <c r="F113" s="10">
        <v>43.78</v>
      </c>
      <c r="G113" s="1"/>
      <c r="H113" s="14"/>
      <c r="I113" s="9">
        <v>27.200948</v>
      </c>
      <c r="J113" s="9">
        <v>77.953974</v>
      </c>
      <c r="K113" s="9">
        <v>29.001856</v>
      </c>
      <c r="L113" s="9">
        <v>77.767967</v>
      </c>
      <c r="M113" s="9">
        <v>50.0</v>
      </c>
      <c r="N113" s="15"/>
      <c r="O113" s="17"/>
      <c r="P113" s="11"/>
      <c r="Q113" s="11" t="s">
        <v>403</v>
      </c>
      <c r="R113" s="11" t="s">
        <v>404</v>
      </c>
      <c r="S113" s="11">
        <v>50.0</v>
      </c>
      <c r="T113" s="4"/>
      <c r="U113" s="4"/>
      <c r="V113" s="4"/>
      <c r="W113" s="4"/>
      <c r="X113" s="4"/>
      <c r="Y113" s="4"/>
      <c r="Z113" s="4"/>
    </row>
    <row r="114">
      <c r="A114" s="8">
        <v>112.0</v>
      </c>
      <c r="B114" s="9" t="s">
        <v>22</v>
      </c>
      <c r="C114" s="10" t="s">
        <v>405</v>
      </c>
      <c r="D114" s="10">
        <v>4.0</v>
      </c>
      <c r="E114" s="10" t="s">
        <v>281</v>
      </c>
      <c r="F114" s="10">
        <v>5.41</v>
      </c>
      <c r="G114" s="1"/>
      <c r="H114" s="9" t="s">
        <v>22</v>
      </c>
      <c r="I114" s="9">
        <v>27.186145</v>
      </c>
      <c r="J114" s="9">
        <v>78.005859</v>
      </c>
      <c r="K114" s="9">
        <v>26.842091</v>
      </c>
      <c r="L114" s="9">
        <v>80.947821</v>
      </c>
      <c r="M114" s="9">
        <v>6.3</v>
      </c>
      <c r="N114" s="15"/>
      <c r="O114" s="11" t="s">
        <v>22</v>
      </c>
      <c r="P114" s="11" t="s">
        <v>22</v>
      </c>
      <c r="Q114" s="11" t="s">
        <v>406</v>
      </c>
      <c r="R114" s="11" t="s">
        <v>407</v>
      </c>
      <c r="S114" s="11">
        <v>6.3</v>
      </c>
      <c r="T114" s="4"/>
      <c r="U114" s="4"/>
      <c r="V114" s="4"/>
      <c r="W114" s="4"/>
      <c r="X114" s="4"/>
      <c r="Y114" s="4"/>
      <c r="Z114" s="4"/>
    </row>
    <row r="115">
      <c r="A115" s="8">
        <v>113.0</v>
      </c>
      <c r="B115" s="9" t="s">
        <v>408</v>
      </c>
      <c r="C115" s="10" t="s">
        <v>409</v>
      </c>
      <c r="D115" s="10">
        <v>4.0</v>
      </c>
      <c r="E115" s="10" t="s">
        <v>281</v>
      </c>
      <c r="F115" s="10">
        <v>83.8</v>
      </c>
      <c r="G115" s="1"/>
      <c r="H115" s="9" t="s">
        <v>408</v>
      </c>
      <c r="I115" s="9">
        <v>29.001856</v>
      </c>
      <c r="J115" s="9">
        <v>77.767967</v>
      </c>
      <c r="K115" s="14"/>
      <c r="L115" s="14"/>
      <c r="M115" s="9">
        <v>72.0</v>
      </c>
      <c r="N115" s="15"/>
      <c r="O115" s="11" t="s">
        <v>408</v>
      </c>
      <c r="P115" s="11"/>
      <c r="Q115" s="11" t="s">
        <v>410</v>
      </c>
      <c r="R115" s="11" t="s">
        <v>411</v>
      </c>
      <c r="S115" s="11">
        <v>72.0</v>
      </c>
      <c r="T115" s="4"/>
      <c r="U115" s="4"/>
      <c r="V115" s="4"/>
      <c r="W115" s="4"/>
      <c r="X115" s="4"/>
      <c r="Y115" s="4"/>
      <c r="Z115" s="4"/>
    </row>
    <row r="116">
      <c r="A116" s="8">
        <v>114.0</v>
      </c>
      <c r="B116" s="14"/>
      <c r="C116" s="10" t="s">
        <v>412</v>
      </c>
      <c r="D116" s="10">
        <v>2.0</v>
      </c>
      <c r="E116" s="10" t="s">
        <v>281</v>
      </c>
      <c r="F116" s="10">
        <v>81.0</v>
      </c>
      <c r="G116" s="1"/>
      <c r="H116" s="14"/>
      <c r="I116" s="9">
        <v>27.175255</v>
      </c>
      <c r="J116" s="9">
        <v>78.009816</v>
      </c>
      <c r="K116" s="9">
        <v>27.876107</v>
      </c>
      <c r="L116" s="9">
        <v>78.135815</v>
      </c>
      <c r="M116" s="9">
        <v>87.0</v>
      </c>
      <c r="N116" s="15"/>
      <c r="O116" s="17"/>
      <c r="P116" s="11"/>
      <c r="Q116" s="11" t="s">
        <v>413</v>
      </c>
      <c r="R116" s="11" t="s">
        <v>414</v>
      </c>
      <c r="S116" s="11">
        <v>87.0</v>
      </c>
      <c r="T116" s="4"/>
      <c r="U116" s="4"/>
      <c r="V116" s="4"/>
      <c r="W116" s="4"/>
      <c r="X116" s="4"/>
      <c r="Y116" s="4"/>
      <c r="Z116" s="4"/>
    </row>
    <row r="117">
      <c r="A117" s="8">
        <v>115.0</v>
      </c>
      <c r="B117" s="14"/>
      <c r="C117" s="10" t="s">
        <v>415</v>
      </c>
      <c r="D117" s="10">
        <v>6.0</v>
      </c>
      <c r="E117" s="10" t="s">
        <v>281</v>
      </c>
      <c r="F117" s="10">
        <v>45.83</v>
      </c>
      <c r="G117" s="1"/>
      <c r="H117" s="14"/>
      <c r="I117" s="9">
        <v>27.876107</v>
      </c>
      <c r="J117" s="9">
        <v>78.135815</v>
      </c>
      <c r="K117" s="14"/>
      <c r="L117" s="14"/>
      <c r="M117" s="9">
        <v>48.0</v>
      </c>
      <c r="N117" s="15"/>
      <c r="O117" s="17"/>
      <c r="P117" s="11"/>
      <c r="Q117" s="11" t="s">
        <v>416</v>
      </c>
      <c r="R117" s="11" t="s">
        <v>351</v>
      </c>
      <c r="S117" s="11">
        <v>48.0</v>
      </c>
      <c r="T117" s="4"/>
      <c r="U117" s="4"/>
      <c r="V117" s="4"/>
      <c r="W117" s="4"/>
      <c r="X117" s="4"/>
      <c r="Y117" s="4"/>
      <c r="Z117" s="4"/>
    </row>
    <row r="118">
      <c r="A118" s="8">
        <v>116.0</v>
      </c>
      <c r="B118" s="9" t="s">
        <v>417</v>
      </c>
      <c r="C118" s="10" t="s">
        <v>418</v>
      </c>
      <c r="D118" s="10">
        <v>2.0</v>
      </c>
      <c r="E118" s="10" t="s">
        <v>281</v>
      </c>
      <c r="F118" s="10">
        <v>155.9</v>
      </c>
      <c r="G118" s="1"/>
      <c r="H118" s="9" t="s">
        <v>417</v>
      </c>
      <c r="I118" s="9">
        <v>26.404594</v>
      </c>
      <c r="J118" s="9">
        <v>82.606515</v>
      </c>
      <c r="K118" s="14"/>
      <c r="L118" s="14"/>
      <c r="M118" s="14"/>
      <c r="N118" s="15"/>
      <c r="O118" s="11" t="s">
        <v>417</v>
      </c>
      <c r="P118" s="22"/>
      <c r="Q118" s="11" t="s">
        <v>419</v>
      </c>
      <c r="R118" s="11" t="s">
        <v>420</v>
      </c>
      <c r="S118" s="11">
        <v>170.0</v>
      </c>
      <c r="T118" s="4"/>
      <c r="U118" s="4"/>
      <c r="V118" s="4"/>
      <c r="W118" s="4"/>
      <c r="X118" s="4"/>
      <c r="Y118" s="4"/>
      <c r="Z118" s="4"/>
    </row>
    <row r="119">
      <c r="A119" s="8">
        <v>117.0</v>
      </c>
      <c r="B119" s="9" t="s">
        <v>421</v>
      </c>
      <c r="C119" s="10" t="s">
        <v>422</v>
      </c>
      <c r="D119" s="10">
        <v>2.0</v>
      </c>
      <c r="E119" s="10" t="s">
        <v>281</v>
      </c>
      <c r="F119" s="10">
        <v>74.46</v>
      </c>
      <c r="G119" s="1"/>
      <c r="H119" s="9" t="s">
        <v>421</v>
      </c>
      <c r="I119" s="14"/>
      <c r="J119" s="14"/>
      <c r="K119" s="9">
        <v>28.458234</v>
      </c>
      <c r="L119" s="9">
        <v>79.404745</v>
      </c>
      <c r="M119" s="9">
        <v>90.8</v>
      </c>
      <c r="N119" s="15"/>
      <c r="O119" s="11" t="s">
        <v>421</v>
      </c>
      <c r="P119" s="17"/>
      <c r="Q119" s="11" t="s">
        <v>423</v>
      </c>
      <c r="R119" s="11" t="s">
        <v>424</v>
      </c>
      <c r="S119" s="11">
        <v>90.8</v>
      </c>
      <c r="T119" s="4"/>
      <c r="U119" s="4"/>
      <c r="V119" s="4"/>
      <c r="W119" s="4"/>
      <c r="X119" s="4"/>
      <c r="Y119" s="4"/>
      <c r="Z119" s="4"/>
    </row>
    <row r="120">
      <c r="A120" s="8">
        <v>119.0</v>
      </c>
      <c r="B120" s="14"/>
      <c r="C120" s="10" t="s">
        <v>425</v>
      </c>
      <c r="D120" s="10">
        <v>4.0</v>
      </c>
      <c r="E120" s="10" t="s">
        <v>281</v>
      </c>
      <c r="F120" s="10">
        <v>59.92</v>
      </c>
      <c r="G120" s="1"/>
      <c r="H120" s="14"/>
      <c r="I120" s="9">
        <v>26.255881</v>
      </c>
      <c r="J120" s="9">
        <v>83.731414</v>
      </c>
      <c r="K120" s="14"/>
      <c r="L120" s="14"/>
      <c r="M120" s="9">
        <v>167.0</v>
      </c>
      <c r="N120" s="15"/>
      <c r="O120" s="17"/>
      <c r="P120" s="17"/>
      <c r="Q120" s="11" t="s">
        <v>426</v>
      </c>
      <c r="R120" s="11" t="s">
        <v>427</v>
      </c>
      <c r="S120" s="11">
        <v>167.0</v>
      </c>
      <c r="T120" s="4"/>
      <c r="U120" s="4"/>
      <c r="V120" s="4"/>
      <c r="W120" s="4"/>
      <c r="X120" s="4"/>
      <c r="Y120" s="4"/>
      <c r="Z120" s="4"/>
    </row>
    <row r="121">
      <c r="A121" s="8">
        <v>118.0</v>
      </c>
      <c r="B121" s="14"/>
      <c r="C121" s="10" t="s">
        <v>428</v>
      </c>
      <c r="D121" s="10">
        <v>4.0</v>
      </c>
      <c r="E121" s="10" t="s">
        <v>281</v>
      </c>
      <c r="F121" s="10">
        <v>59.01</v>
      </c>
      <c r="G121" s="1"/>
      <c r="H121" s="14"/>
      <c r="I121" s="9">
        <v>26.255881</v>
      </c>
      <c r="J121" s="9">
        <v>83.731414</v>
      </c>
      <c r="K121" s="9">
        <v>25.335649</v>
      </c>
      <c r="L121" s="9">
        <v>83.007629</v>
      </c>
      <c r="M121" s="9">
        <v>62.1</v>
      </c>
      <c r="N121" s="15"/>
      <c r="O121" s="17"/>
      <c r="P121" s="11"/>
      <c r="Q121" s="11" t="s">
        <v>426</v>
      </c>
      <c r="R121" s="11" t="s">
        <v>427</v>
      </c>
      <c r="S121" s="11">
        <v>62.1</v>
      </c>
      <c r="T121" s="4"/>
      <c r="U121" s="4"/>
      <c r="V121" s="4"/>
      <c r="W121" s="4"/>
      <c r="X121" s="4"/>
      <c r="Y121" s="4"/>
      <c r="Z121" s="4"/>
    </row>
    <row r="122">
      <c r="A122" s="8">
        <v>120.0</v>
      </c>
      <c r="B122" s="14"/>
      <c r="C122" s="10" t="s">
        <v>429</v>
      </c>
      <c r="D122" s="10">
        <v>4.0</v>
      </c>
      <c r="E122" s="10" t="s">
        <v>281</v>
      </c>
      <c r="F122" s="10">
        <v>74.53</v>
      </c>
      <c r="G122" s="1"/>
      <c r="H122" s="14"/>
      <c r="I122" s="9">
        <v>26.260473</v>
      </c>
      <c r="J122" s="9">
        <v>82.238053</v>
      </c>
      <c r="K122" s="9">
        <v>25.796706</v>
      </c>
      <c r="L122" s="9">
        <v>82.488899</v>
      </c>
      <c r="M122" s="9">
        <v>89.4</v>
      </c>
      <c r="N122" s="15"/>
      <c r="O122" s="17"/>
      <c r="P122" s="39"/>
      <c r="Q122" s="11" t="s">
        <v>430</v>
      </c>
      <c r="R122" s="11" t="s">
        <v>431</v>
      </c>
      <c r="S122" s="11">
        <v>89.4</v>
      </c>
      <c r="T122" s="4"/>
      <c r="U122" s="4"/>
      <c r="V122" s="4"/>
      <c r="W122" s="4"/>
      <c r="X122" s="4"/>
      <c r="Y122" s="4"/>
      <c r="Z122" s="4"/>
    </row>
    <row r="123">
      <c r="A123" s="8">
        <v>121.0</v>
      </c>
      <c r="B123" s="14"/>
      <c r="C123" s="10" t="s">
        <v>432</v>
      </c>
      <c r="D123" s="10">
        <v>4.0</v>
      </c>
      <c r="E123" s="10" t="s">
        <v>281</v>
      </c>
      <c r="F123" s="10">
        <v>63.36</v>
      </c>
      <c r="G123" s="1"/>
      <c r="H123" s="14"/>
      <c r="I123" s="9">
        <v>26.260473</v>
      </c>
      <c r="J123" s="9">
        <v>82.238053</v>
      </c>
      <c r="K123" s="9">
        <v>25.335649</v>
      </c>
      <c r="L123" s="9">
        <v>83.007629</v>
      </c>
      <c r="M123" s="9">
        <v>152.0</v>
      </c>
      <c r="N123" s="15"/>
      <c r="O123" s="17"/>
      <c r="P123" s="17"/>
      <c r="Q123" s="11" t="s">
        <v>430</v>
      </c>
      <c r="R123" s="11" t="s">
        <v>433</v>
      </c>
      <c r="S123" s="11">
        <v>152.0</v>
      </c>
      <c r="T123" s="4"/>
      <c r="U123" s="4"/>
      <c r="V123" s="4"/>
      <c r="W123" s="4"/>
      <c r="X123" s="4"/>
      <c r="Y123" s="4"/>
      <c r="Z123" s="4"/>
    </row>
    <row r="124">
      <c r="A124" s="8">
        <v>122.0</v>
      </c>
      <c r="B124" s="9" t="s">
        <v>434</v>
      </c>
      <c r="C124" s="10" t="s">
        <v>435</v>
      </c>
      <c r="D124" s="10">
        <v>4.0</v>
      </c>
      <c r="E124" s="10" t="s">
        <v>281</v>
      </c>
      <c r="F124" s="10">
        <v>60.22</v>
      </c>
      <c r="G124" s="1"/>
      <c r="H124" s="9" t="s">
        <v>434</v>
      </c>
      <c r="I124" s="14"/>
      <c r="J124" s="14"/>
      <c r="K124" s="9">
        <v>26.780799</v>
      </c>
      <c r="L124" s="9">
        <v>82.148659</v>
      </c>
      <c r="M124" s="9"/>
      <c r="N124" s="15"/>
      <c r="O124" s="11" t="s">
        <v>434</v>
      </c>
      <c r="P124" s="22"/>
      <c r="Q124" s="11" t="s">
        <v>436</v>
      </c>
      <c r="R124" s="11" t="s">
        <v>437</v>
      </c>
      <c r="S124" s="11">
        <v>62.0</v>
      </c>
      <c r="T124" s="4"/>
      <c r="U124" s="4"/>
      <c r="V124" s="4"/>
      <c r="W124" s="4"/>
      <c r="X124" s="4"/>
      <c r="Y124" s="4"/>
      <c r="Z124" s="4"/>
    </row>
    <row r="125">
      <c r="A125" s="8">
        <v>123.0</v>
      </c>
      <c r="B125" s="14"/>
      <c r="C125" s="10" t="s">
        <v>438</v>
      </c>
      <c r="D125" s="10">
        <v>4.0</v>
      </c>
      <c r="E125" s="10" t="s">
        <v>281</v>
      </c>
      <c r="F125" s="10">
        <v>32.9</v>
      </c>
      <c r="G125" s="1"/>
      <c r="H125" s="14"/>
      <c r="I125" s="9">
        <v>26.90356</v>
      </c>
      <c r="J125" s="9">
        <v>80.962603</v>
      </c>
      <c r="K125" s="9">
        <v>27.502675</v>
      </c>
      <c r="L125" s="9">
        <v>80.833514</v>
      </c>
      <c r="M125" s="14"/>
      <c r="N125" s="15"/>
      <c r="O125" s="17"/>
      <c r="P125" s="11"/>
      <c r="Q125" s="11" t="s">
        <v>439</v>
      </c>
      <c r="R125" s="11" t="s">
        <v>440</v>
      </c>
      <c r="S125" s="11">
        <v>33.0</v>
      </c>
      <c r="T125" s="4"/>
      <c r="U125" s="4"/>
      <c r="V125" s="4"/>
      <c r="W125" s="4"/>
      <c r="X125" s="4"/>
      <c r="Y125" s="4"/>
      <c r="Z125" s="4"/>
    </row>
    <row r="126">
      <c r="A126" s="8">
        <v>124.0</v>
      </c>
      <c r="B126" s="9" t="s">
        <v>441</v>
      </c>
      <c r="C126" s="10" t="s">
        <v>442</v>
      </c>
      <c r="D126" s="10">
        <v>4.0</v>
      </c>
      <c r="E126" s="10" t="s">
        <v>281</v>
      </c>
      <c r="F126" s="10">
        <v>32.17</v>
      </c>
      <c r="G126" s="1"/>
      <c r="H126" s="9" t="s">
        <v>441</v>
      </c>
      <c r="I126" s="9">
        <v>25.43813</v>
      </c>
      <c r="J126" s="9">
        <v>81.8338</v>
      </c>
      <c r="K126" s="9">
        <v>25.657911</v>
      </c>
      <c r="L126" s="9">
        <v>82.190298</v>
      </c>
      <c r="M126" s="9">
        <v>28.1</v>
      </c>
      <c r="N126" s="15"/>
      <c r="O126" s="11" t="s">
        <v>441</v>
      </c>
      <c r="P126" s="11"/>
      <c r="Q126" s="11" t="s">
        <v>443</v>
      </c>
      <c r="R126" s="11" t="s">
        <v>444</v>
      </c>
      <c r="S126" s="11">
        <v>28.1</v>
      </c>
      <c r="T126" s="4"/>
      <c r="U126" s="4"/>
      <c r="V126" s="4"/>
      <c r="W126" s="4"/>
      <c r="X126" s="4"/>
      <c r="Y126" s="4"/>
      <c r="Z126" s="4"/>
    </row>
    <row r="127">
      <c r="A127" s="8">
        <v>125.0</v>
      </c>
      <c r="B127" s="9" t="s">
        <v>445</v>
      </c>
      <c r="C127" s="10" t="s">
        <v>446</v>
      </c>
      <c r="D127" s="10">
        <v>4.0</v>
      </c>
      <c r="E127" s="10" t="s">
        <v>281</v>
      </c>
      <c r="F127" s="10">
        <v>53.95</v>
      </c>
      <c r="G127" s="1"/>
      <c r="H127" s="9" t="s">
        <v>445</v>
      </c>
      <c r="I127" s="9">
        <v>29.001856</v>
      </c>
      <c r="J127" s="9">
        <v>77.767967</v>
      </c>
      <c r="K127" s="14"/>
      <c r="L127" s="14"/>
      <c r="M127" s="9">
        <v>118.0</v>
      </c>
      <c r="N127" s="15"/>
      <c r="O127" s="11" t="s">
        <v>445</v>
      </c>
      <c r="P127" s="11"/>
      <c r="Q127" s="11" t="s">
        <v>447</v>
      </c>
      <c r="R127" s="11" t="s">
        <v>448</v>
      </c>
      <c r="S127" s="11">
        <v>118.0</v>
      </c>
      <c r="T127" s="4"/>
      <c r="U127" s="4"/>
      <c r="V127" s="4"/>
      <c r="W127" s="4"/>
      <c r="X127" s="4"/>
      <c r="Y127" s="4"/>
      <c r="Z127" s="4"/>
    </row>
    <row r="128">
      <c r="A128" s="8">
        <v>126.0</v>
      </c>
      <c r="B128" s="9" t="s">
        <v>417</v>
      </c>
      <c r="C128" s="10" t="s">
        <v>449</v>
      </c>
      <c r="D128" s="10">
        <v>2.0</v>
      </c>
      <c r="E128" s="10" t="s">
        <v>281</v>
      </c>
      <c r="F128" s="10">
        <v>133.28</v>
      </c>
      <c r="G128" s="1"/>
      <c r="H128" s="9" t="s">
        <v>417</v>
      </c>
      <c r="I128" s="9">
        <v>26.208677</v>
      </c>
      <c r="J128" s="9">
        <v>81.21863</v>
      </c>
      <c r="K128" s="9">
        <v>25.617015</v>
      </c>
      <c r="L128" s="9">
        <v>80.524975</v>
      </c>
      <c r="M128" s="9">
        <v>136.0</v>
      </c>
      <c r="N128" s="15"/>
      <c r="O128" s="11" t="s">
        <v>417</v>
      </c>
      <c r="P128" s="11"/>
      <c r="Q128" s="11" t="s">
        <v>450</v>
      </c>
      <c r="R128" s="11" t="s">
        <v>451</v>
      </c>
      <c r="S128" s="11">
        <v>136.0</v>
      </c>
      <c r="T128" s="4"/>
      <c r="U128" s="4"/>
      <c r="V128" s="4"/>
      <c r="W128" s="4"/>
      <c r="X128" s="4"/>
      <c r="Y128" s="4"/>
      <c r="Z128" s="4"/>
    </row>
    <row r="129">
      <c r="A129" s="8">
        <v>127.0</v>
      </c>
      <c r="B129" s="9" t="s">
        <v>40</v>
      </c>
      <c r="C129" s="10" t="s">
        <v>452</v>
      </c>
      <c r="D129" s="10">
        <v>2.0</v>
      </c>
      <c r="E129" s="10" t="s">
        <v>281</v>
      </c>
      <c r="F129" s="10">
        <v>65.87</v>
      </c>
      <c r="G129" s="1"/>
      <c r="H129" s="9" t="s">
        <v>40</v>
      </c>
      <c r="I129" s="9">
        <v>26.463707</v>
      </c>
      <c r="J129" s="9">
        <v>80.246719</v>
      </c>
      <c r="K129" s="9">
        <v>26.957161</v>
      </c>
      <c r="L129" s="9">
        <v>82.862116</v>
      </c>
      <c r="M129" s="9">
        <v>79.0</v>
      </c>
      <c r="N129" s="15"/>
      <c r="O129" s="11" t="s">
        <v>40</v>
      </c>
      <c r="P129" s="11"/>
      <c r="Q129" s="11" t="s">
        <v>453</v>
      </c>
      <c r="R129" s="11" t="s">
        <v>454</v>
      </c>
      <c r="S129" s="11">
        <v>79.0</v>
      </c>
      <c r="T129" s="4"/>
      <c r="U129" s="4"/>
      <c r="V129" s="4"/>
      <c r="W129" s="4"/>
      <c r="X129" s="4"/>
      <c r="Y129" s="4"/>
      <c r="Z129" s="4"/>
    </row>
    <row r="130">
      <c r="A130" s="8">
        <v>128.0</v>
      </c>
      <c r="B130" s="14"/>
      <c r="C130" s="10" t="s">
        <v>455</v>
      </c>
      <c r="D130" s="10">
        <v>4.0</v>
      </c>
      <c r="E130" s="10" t="s">
        <v>281</v>
      </c>
      <c r="F130" s="10">
        <v>42.87</v>
      </c>
      <c r="G130" s="1"/>
      <c r="H130" s="14"/>
      <c r="I130" s="9">
        <v>29.481151</v>
      </c>
      <c r="J130" s="9">
        <v>77.290134</v>
      </c>
      <c r="K130" s="9">
        <v>29.382152</v>
      </c>
      <c r="L130" s="9">
        <v>77.800136</v>
      </c>
      <c r="M130" s="9">
        <v>39.7</v>
      </c>
      <c r="N130" s="15"/>
      <c r="O130" s="17"/>
      <c r="P130" s="17"/>
      <c r="Q130" s="12" t="s">
        <v>456</v>
      </c>
      <c r="R130" s="11" t="s">
        <v>457</v>
      </c>
      <c r="S130" s="11">
        <v>39.7</v>
      </c>
      <c r="T130" s="4"/>
      <c r="U130" s="4"/>
      <c r="V130" s="4"/>
      <c r="W130" s="4"/>
      <c r="X130" s="4"/>
      <c r="Y130" s="4"/>
      <c r="Z130" s="4"/>
    </row>
    <row r="131">
      <c r="A131" s="8">
        <v>129.0</v>
      </c>
      <c r="B131" s="14"/>
      <c r="C131" s="10" t="s">
        <v>458</v>
      </c>
      <c r="D131" s="10">
        <v>6.0</v>
      </c>
      <c r="E131" s="10" t="s">
        <v>281</v>
      </c>
      <c r="F131" s="10">
        <v>179.5</v>
      </c>
      <c r="G131" s="1"/>
      <c r="H131" s="14"/>
      <c r="I131" s="9">
        <v>28.783393</v>
      </c>
      <c r="J131" s="9">
        <v>77.427237</v>
      </c>
      <c r="K131" s="14"/>
      <c r="L131" s="14"/>
      <c r="M131" s="9">
        <v>209.0</v>
      </c>
      <c r="N131" s="15"/>
      <c r="O131" s="17"/>
      <c r="P131" s="11"/>
      <c r="Q131" s="11" t="s">
        <v>459</v>
      </c>
      <c r="R131" s="11" t="s">
        <v>460</v>
      </c>
      <c r="S131" s="11">
        <v>209.0</v>
      </c>
      <c r="T131" s="4"/>
      <c r="U131" s="4"/>
      <c r="V131" s="4"/>
      <c r="W131" s="4"/>
      <c r="X131" s="4"/>
      <c r="Y131" s="4"/>
      <c r="Z131" s="4"/>
    </row>
    <row r="132">
      <c r="A132" s="8">
        <v>130.0</v>
      </c>
      <c r="B132" s="14"/>
      <c r="C132" s="10" t="s">
        <v>461</v>
      </c>
      <c r="D132" s="10">
        <v>4.0</v>
      </c>
      <c r="E132" s="10" t="s">
        <v>281</v>
      </c>
      <c r="F132" s="10">
        <v>65.38</v>
      </c>
      <c r="G132" s="1"/>
      <c r="H132" s="14"/>
      <c r="I132" s="9">
        <v>26.746818</v>
      </c>
      <c r="J132" s="9">
        <v>83.375133</v>
      </c>
      <c r="K132" s="14"/>
      <c r="L132" s="14"/>
      <c r="M132" s="9">
        <v>68.0</v>
      </c>
      <c r="N132" s="15"/>
      <c r="O132" s="17"/>
      <c r="P132" s="11"/>
      <c r="Q132" s="11" t="s">
        <v>462</v>
      </c>
      <c r="R132" s="11" t="s">
        <v>463</v>
      </c>
      <c r="S132" s="11">
        <v>68.0</v>
      </c>
      <c r="T132" s="4"/>
      <c r="U132" s="4"/>
      <c r="V132" s="4"/>
      <c r="W132" s="4"/>
      <c r="X132" s="4"/>
      <c r="Y132" s="4"/>
      <c r="Z132" s="4"/>
    </row>
    <row r="133">
      <c r="A133" s="8">
        <v>131.0</v>
      </c>
      <c r="B133" s="14"/>
      <c r="C133" s="10" t="s">
        <v>464</v>
      </c>
      <c r="D133" s="10">
        <v>4.0</v>
      </c>
      <c r="E133" s="10" t="s">
        <v>281</v>
      </c>
      <c r="F133" s="10">
        <v>34.0</v>
      </c>
      <c r="G133" s="1"/>
      <c r="H133" s="14"/>
      <c r="I133" s="14">
        <v>25.335649</v>
      </c>
      <c r="J133" s="14">
        <v>83.007629</v>
      </c>
      <c r="K133" s="14"/>
      <c r="L133" s="14"/>
      <c r="M133" s="9">
        <v>40.0</v>
      </c>
      <c r="N133" s="4"/>
      <c r="O133" s="17"/>
      <c r="P133" s="11"/>
      <c r="Q133" s="11" t="s">
        <v>465</v>
      </c>
      <c r="R133" s="11" t="s">
        <v>466</v>
      </c>
      <c r="S133" s="11">
        <v>40.0</v>
      </c>
      <c r="T133" s="4"/>
      <c r="U133" s="4"/>
      <c r="V133" s="4"/>
      <c r="W133" s="4"/>
      <c r="X133" s="4"/>
      <c r="Y133" s="4"/>
      <c r="Z133" s="4"/>
    </row>
    <row r="134">
      <c r="A134" s="8">
        <v>132.0</v>
      </c>
      <c r="B134" s="9" t="s">
        <v>467</v>
      </c>
      <c r="C134" s="10" t="s">
        <v>468</v>
      </c>
      <c r="D134" s="10">
        <v>6.0</v>
      </c>
      <c r="E134" s="10" t="s">
        <v>469</v>
      </c>
      <c r="F134" s="10">
        <v>111.4</v>
      </c>
      <c r="G134" s="8"/>
      <c r="H134" s="9" t="s">
        <v>467</v>
      </c>
      <c r="I134" s="14"/>
      <c r="J134" s="14"/>
      <c r="K134" s="9">
        <v>22.34309</v>
      </c>
      <c r="L134" s="9">
        <v>87.301288</v>
      </c>
      <c r="M134" s="9"/>
      <c r="N134" s="8"/>
      <c r="O134" s="11" t="s">
        <v>467</v>
      </c>
      <c r="P134" s="11" t="s">
        <v>204</v>
      </c>
      <c r="Q134" s="11" t="s">
        <v>470</v>
      </c>
      <c r="R134" s="11" t="s">
        <v>471</v>
      </c>
      <c r="S134" s="11">
        <v>124.0</v>
      </c>
      <c r="T134" s="4"/>
      <c r="U134" s="4"/>
      <c r="V134" s="4"/>
      <c r="W134" s="4"/>
      <c r="X134" s="4"/>
      <c r="Y134" s="4"/>
      <c r="Z134" s="4"/>
    </row>
    <row r="135">
      <c r="A135" s="8">
        <v>133.0</v>
      </c>
      <c r="B135" s="14"/>
      <c r="C135" s="10" t="s">
        <v>472</v>
      </c>
      <c r="D135" s="10">
        <v>4.0</v>
      </c>
      <c r="E135" s="10" t="s">
        <v>469</v>
      </c>
      <c r="F135" s="10">
        <v>119.3</v>
      </c>
      <c r="G135" s="8"/>
      <c r="H135" s="14"/>
      <c r="I135" s="14"/>
      <c r="J135" s="14"/>
      <c r="K135" s="9">
        <v>22.34309</v>
      </c>
      <c r="L135" s="9">
        <v>87.301288</v>
      </c>
      <c r="M135" s="9"/>
      <c r="N135" s="8"/>
      <c r="O135" s="17"/>
      <c r="P135" s="11" t="s">
        <v>204</v>
      </c>
      <c r="Q135" s="11" t="s">
        <v>473</v>
      </c>
      <c r="R135" s="11" t="s">
        <v>474</v>
      </c>
      <c r="S135" s="11">
        <v>119.0</v>
      </c>
      <c r="T135" s="4"/>
      <c r="U135" s="4"/>
      <c r="V135" s="4"/>
      <c r="W135" s="4"/>
      <c r="X135" s="4"/>
      <c r="Y135" s="4"/>
      <c r="Z135" s="4"/>
    </row>
    <row r="136">
      <c r="A136" s="8">
        <v>134.0</v>
      </c>
      <c r="B136" s="14"/>
      <c r="C136" s="10" t="s">
        <v>475</v>
      </c>
      <c r="D136" s="10">
        <v>4.0</v>
      </c>
      <c r="E136" s="10" t="s">
        <v>469</v>
      </c>
      <c r="F136" s="10">
        <v>65.0</v>
      </c>
      <c r="G136" s="8"/>
      <c r="H136" s="14"/>
      <c r="I136" s="9">
        <v>23.196377</v>
      </c>
      <c r="J136" s="9">
        <v>88.00314</v>
      </c>
      <c r="K136" s="9">
        <v>23.443013</v>
      </c>
      <c r="L136" s="9">
        <v>87.458683</v>
      </c>
      <c r="M136" s="9"/>
      <c r="N136" s="8"/>
      <c r="O136" s="17"/>
      <c r="P136" s="11" t="s">
        <v>138</v>
      </c>
      <c r="Q136" s="11" t="s">
        <v>476</v>
      </c>
      <c r="R136" s="11" t="s">
        <v>477</v>
      </c>
      <c r="S136" s="11">
        <v>63.0</v>
      </c>
      <c r="T136" s="4"/>
      <c r="U136" s="4"/>
      <c r="V136" s="4"/>
      <c r="W136" s="4"/>
      <c r="X136" s="4"/>
      <c r="Y136" s="4"/>
      <c r="Z136" s="4"/>
    </row>
    <row r="137">
      <c r="A137" s="8">
        <v>135.0</v>
      </c>
      <c r="B137" s="9" t="s">
        <v>135</v>
      </c>
      <c r="C137" s="10" t="s">
        <v>478</v>
      </c>
      <c r="D137" s="10">
        <v>4.0</v>
      </c>
      <c r="E137" s="10" t="s">
        <v>469</v>
      </c>
      <c r="F137" s="10">
        <v>64.54</v>
      </c>
      <c r="G137" s="8"/>
      <c r="H137" s="9" t="s">
        <v>135</v>
      </c>
      <c r="I137" s="9">
        <v>23.196377</v>
      </c>
      <c r="J137" s="9">
        <v>88.00314</v>
      </c>
      <c r="K137" s="14"/>
      <c r="L137" s="14"/>
      <c r="M137" s="9"/>
      <c r="N137" s="8"/>
      <c r="O137" s="11" t="s">
        <v>135</v>
      </c>
      <c r="P137" s="11" t="s">
        <v>284</v>
      </c>
      <c r="Q137" s="11" t="s">
        <v>476</v>
      </c>
      <c r="R137" s="11" t="s">
        <v>479</v>
      </c>
      <c r="S137" s="11">
        <v>74.3</v>
      </c>
      <c r="T137" s="4"/>
      <c r="U137" s="4"/>
      <c r="V137" s="4"/>
      <c r="W137" s="4"/>
      <c r="X137" s="4"/>
      <c r="Y137" s="4"/>
      <c r="Z137" s="4"/>
    </row>
    <row r="138">
      <c r="A138" s="8">
        <v>136.0</v>
      </c>
      <c r="B138" s="14"/>
      <c r="C138" s="10" t="s">
        <v>480</v>
      </c>
      <c r="D138" s="10">
        <v>4.0</v>
      </c>
      <c r="E138" s="10" t="s">
        <v>469</v>
      </c>
      <c r="F138" s="10">
        <v>61.6</v>
      </c>
      <c r="G138" s="8"/>
      <c r="H138" s="14"/>
      <c r="I138" s="9">
        <v>25.873962</v>
      </c>
      <c r="J138" s="9">
        <v>87.839125</v>
      </c>
      <c r="K138" s="14"/>
      <c r="L138" s="14"/>
      <c r="M138" s="9"/>
      <c r="N138" s="8"/>
      <c r="O138" s="17"/>
      <c r="P138" s="11" t="s">
        <v>481</v>
      </c>
      <c r="Q138" s="11" t="s">
        <v>482</v>
      </c>
      <c r="R138" s="11" t="s">
        <v>483</v>
      </c>
      <c r="S138" s="11">
        <v>62.0</v>
      </c>
      <c r="T138" s="4"/>
      <c r="U138" s="4"/>
      <c r="V138" s="4"/>
      <c r="W138" s="4"/>
      <c r="X138" s="4"/>
      <c r="Y138" s="4"/>
      <c r="Z138" s="4"/>
    </row>
    <row r="139">
      <c r="A139" s="8">
        <v>137.0</v>
      </c>
      <c r="B139" s="14"/>
      <c r="C139" s="10" t="s">
        <v>484</v>
      </c>
      <c r="D139" s="10">
        <v>4.0</v>
      </c>
      <c r="E139" s="10" t="s">
        <v>469</v>
      </c>
      <c r="F139" s="10">
        <v>70.7</v>
      </c>
      <c r="G139" s="8"/>
      <c r="H139" s="14"/>
      <c r="I139" s="9">
        <v>26.716413</v>
      </c>
      <c r="J139" s="9">
        <v>88.430992</v>
      </c>
      <c r="K139" s="9">
        <v>22.592056</v>
      </c>
      <c r="L139" s="9">
        <v>88.418822</v>
      </c>
      <c r="M139" s="9"/>
      <c r="N139" s="8"/>
      <c r="O139" s="17"/>
      <c r="P139" s="11" t="s">
        <v>481</v>
      </c>
      <c r="Q139" s="11" t="s">
        <v>485</v>
      </c>
      <c r="R139" s="11" t="s">
        <v>483</v>
      </c>
      <c r="S139" s="11">
        <v>74.0</v>
      </c>
      <c r="T139" s="4"/>
      <c r="U139" s="4"/>
      <c r="V139" s="4"/>
      <c r="W139" s="4"/>
      <c r="X139" s="4"/>
      <c r="Y139" s="4"/>
      <c r="Z139" s="4"/>
    </row>
    <row r="140">
      <c r="A140" s="21">
        <v>138.0</v>
      </c>
      <c r="B140" s="9" t="s">
        <v>486</v>
      </c>
      <c r="C140" s="10" t="s">
        <v>487</v>
      </c>
      <c r="D140" s="10">
        <v>4.0</v>
      </c>
      <c r="E140" s="10" t="s">
        <v>469</v>
      </c>
      <c r="F140" s="10">
        <v>96.28</v>
      </c>
      <c r="G140" s="8"/>
      <c r="H140" s="9" t="s">
        <v>486</v>
      </c>
      <c r="I140" s="14"/>
      <c r="J140" s="14"/>
      <c r="K140" s="9">
        <v>26.595289</v>
      </c>
      <c r="L140" s="9">
        <v>88.286225</v>
      </c>
      <c r="M140" s="14"/>
      <c r="N140" s="8"/>
      <c r="O140" s="11" t="s">
        <v>486</v>
      </c>
      <c r="P140" s="11" t="s">
        <v>481</v>
      </c>
      <c r="Q140" s="11" t="s">
        <v>488</v>
      </c>
      <c r="R140" s="11" t="s">
        <v>489</v>
      </c>
      <c r="S140" s="11">
        <v>96.28</v>
      </c>
      <c r="T140" s="4"/>
      <c r="U140" s="4"/>
      <c r="V140" s="4"/>
      <c r="W140" s="4"/>
      <c r="X140" s="4"/>
      <c r="Y140" s="4"/>
      <c r="Z140" s="4"/>
    </row>
    <row r="141">
      <c r="A141" s="8">
        <v>139.0</v>
      </c>
      <c r="B141" s="14"/>
      <c r="C141" s="10" t="s">
        <v>490</v>
      </c>
      <c r="D141" s="10">
        <v>4.0</v>
      </c>
      <c r="E141" s="10" t="s">
        <v>469</v>
      </c>
      <c r="F141" s="10">
        <v>27.0</v>
      </c>
      <c r="G141" s="8"/>
      <c r="H141" s="14"/>
      <c r="I141" s="14"/>
      <c r="J141" s="14"/>
      <c r="K141" s="14"/>
      <c r="L141" s="14"/>
      <c r="M141" s="9"/>
      <c r="N141" s="15"/>
      <c r="O141" s="17"/>
      <c r="P141" s="11" t="s">
        <v>481</v>
      </c>
      <c r="Q141" s="11" t="s">
        <v>491</v>
      </c>
      <c r="R141" s="11" t="s">
        <v>492</v>
      </c>
      <c r="S141" s="11">
        <v>37.0</v>
      </c>
      <c r="T141" s="4"/>
      <c r="U141" s="4"/>
      <c r="V141" s="4"/>
      <c r="W141" s="4"/>
      <c r="X141" s="4"/>
      <c r="Y141" s="4"/>
      <c r="Z141" s="4"/>
    </row>
    <row r="142">
      <c r="A142" s="8">
        <v>140.0</v>
      </c>
      <c r="B142" s="9" t="s">
        <v>196</v>
      </c>
      <c r="C142" s="10" t="s">
        <v>493</v>
      </c>
      <c r="D142" s="10">
        <v>4.0</v>
      </c>
      <c r="E142" s="10" t="s">
        <v>469</v>
      </c>
      <c r="F142" s="10">
        <v>55.55</v>
      </c>
      <c r="G142" s="8"/>
      <c r="H142" s="9" t="s">
        <v>196</v>
      </c>
      <c r="I142" s="9">
        <v>22.311758</v>
      </c>
      <c r="J142" s="9">
        <v>86.883144</v>
      </c>
      <c r="K142" s="14"/>
      <c r="L142" s="14"/>
      <c r="M142" s="9"/>
      <c r="N142" s="8"/>
      <c r="O142" s="11" t="s">
        <v>196</v>
      </c>
      <c r="P142" s="11" t="s">
        <v>212</v>
      </c>
      <c r="Q142" s="11" t="s">
        <v>494</v>
      </c>
      <c r="R142" s="11" t="s">
        <v>495</v>
      </c>
      <c r="S142" s="11">
        <v>44.0</v>
      </c>
      <c r="T142" s="4"/>
      <c r="U142" s="4"/>
      <c r="V142" s="4"/>
      <c r="W142" s="4"/>
      <c r="X142" s="4"/>
      <c r="Y142" s="4"/>
      <c r="Z142" s="4"/>
    </row>
    <row r="143">
      <c r="A143" s="8">
        <v>141.0</v>
      </c>
      <c r="B143" s="14"/>
      <c r="C143" s="10" t="s">
        <v>496</v>
      </c>
      <c r="D143" s="10">
        <v>4.0</v>
      </c>
      <c r="E143" s="10" t="s">
        <v>469</v>
      </c>
      <c r="F143" s="10">
        <v>53.0</v>
      </c>
      <c r="G143" s="8"/>
      <c r="H143" s="14"/>
      <c r="I143" s="9">
        <v>22.440431</v>
      </c>
      <c r="J143" s="9">
        <v>87.819157</v>
      </c>
      <c r="K143" s="9">
        <v>22.028124</v>
      </c>
      <c r="L143" s="9">
        <v>88.063265</v>
      </c>
      <c r="M143" s="9"/>
      <c r="N143" s="8"/>
      <c r="O143" s="17"/>
      <c r="P143" s="11" t="s">
        <v>497</v>
      </c>
      <c r="Q143" s="11" t="s">
        <v>498</v>
      </c>
      <c r="R143" s="11" t="s">
        <v>499</v>
      </c>
      <c r="S143" s="11">
        <v>55.0</v>
      </c>
      <c r="T143" s="4"/>
      <c r="U143" s="4"/>
      <c r="V143" s="4"/>
      <c r="W143" s="4"/>
      <c r="X143" s="4"/>
      <c r="Y143" s="4"/>
      <c r="Z143" s="4"/>
    </row>
    <row r="144">
      <c r="A144" s="8">
        <v>142.0</v>
      </c>
      <c r="B144" s="9" t="s">
        <v>500</v>
      </c>
      <c r="C144" s="10" t="s">
        <v>501</v>
      </c>
      <c r="D144" s="10">
        <v>4.0</v>
      </c>
      <c r="E144" s="10" t="s">
        <v>469</v>
      </c>
      <c r="F144" s="10">
        <v>100.2</v>
      </c>
      <c r="G144" s="8"/>
      <c r="H144" s="9" t="s">
        <v>500</v>
      </c>
      <c r="I144" s="14"/>
      <c r="J144" s="14"/>
      <c r="K144" s="14"/>
      <c r="L144" s="14"/>
      <c r="M144" s="9"/>
      <c r="N144" s="40"/>
      <c r="O144" s="11" t="s">
        <v>500</v>
      </c>
      <c r="P144" s="11" t="s">
        <v>502</v>
      </c>
      <c r="Q144" s="11" t="s">
        <v>503</v>
      </c>
      <c r="R144" s="11" t="s">
        <v>504</v>
      </c>
      <c r="S144" s="11">
        <v>112.0</v>
      </c>
      <c r="T144" s="4"/>
      <c r="U144" s="4"/>
      <c r="V144" s="4"/>
      <c r="W144" s="4"/>
      <c r="X144" s="4"/>
      <c r="Y144" s="4"/>
      <c r="Z144" s="4"/>
    </row>
    <row r="145">
      <c r="A145" s="8">
        <v>143.0</v>
      </c>
      <c r="B145" s="14"/>
      <c r="C145" s="10" t="s">
        <v>505</v>
      </c>
      <c r="D145" s="10">
        <v>4.0</v>
      </c>
      <c r="E145" s="10" t="s">
        <v>469</v>
      </c>
      <c r="F145" s="10">
        <v>50.29</v>
      </c>
      <c r="G145" s="8"/>
      <c r="H145" s="14"/>
      <c r="I145" s="14"/>
      <c r="J145" s="14"/>
      <c r="K145" s="14"/>
      <c r="L145" s="14"/>
      <c r="M145" s="9"/>
      <c r="N145" s="40"/>
      <c r="O145" s="17"/>
      <c r="P145" s="11" t="s">
        <v>502</v>
      </c>
      <c r="Q145" s="11" t="s">
        <v>506</v>
      </c>
      <c r="R145" s="11" t="s">
        <v>507</v>
      </c>
      <c r="S145" s="11">
        <v>45.0</v>
      </c>
      <c r="T145" s="4"/>
      <c r="U145" s="4"/>
      <c r="V145" s="4"/>
      <c r="W145" s="4"/>
      <c r="X145" s="4"/>
      <c r="Y145" s="4"/>
      <c r="Z145" s="4"/>
    </row>
    <row r="146">
      <c r="A146" s="8">
        <v>144.0</v>
      </c>
      <c r="B146" s="9" t="s">
        <v>500</v>
      </c>
      <c r="C146" s="10" t="s">
        <v>508</v>
      </c>
      <c r="D146" s="10">
        <v>4.0</v>
      </c>
      <c r="E146" s="10" t="s">
        <v>469</v>
      </c>
      <c r="F146" s="10">
        <v>100.6</v>
      </c>
      <c r="G146" s="8"/>
      <c r="H146" s="9" t="s">
        <v>500</v>
      </c>
      <c r="I146" s="14"/>
      <c r="J146" s="14"/>
      <c r="K146" s="9">
        <v>24.786898</v>
      </c>
      <c r="L146" s="9">
        <v>87.909906</v>
      </c>
      <c r="M146" s="9"/>
      <c r="N146" s="8"/>
      <c r="O146" s="11" t="s">
        <v>500</v>
      </c>
      <c r="P146" s="11" t="s">
        <v>502</v>
      </c>
      <c r="Q146" s="11" t="s">
        <v>509</v>
      </c>
      <c r="R146" s="11" t="s">
        <v>510</v>
      </c>
      <c r="S146" s="11">
        <v>94.0</v>
      </c>
      <c r="T146" s="4"/>
      <c r="U146" s="4"/>
      <c r="V146" s="4"/>
      <c r="W146" s="4"/>
      <c r="X146" s="4"/>
      <c r="Y146" s="4"/>
      <c r="Z146" s="4"/>
    </row>
    <row r="147">
      <c r="A147" s="8">
        <v>145.0</v>
      </c>
      <c r="B147" s="9" t="s">
        <v>511</v>
      </c>
      <c r="C147" s="10" t="s">
        <v>512</v>
      </c>
      <c r="D147" s="10">
        <v>4.0</v>
      </c>
      <c r="E147" s="10" t="s">
        <v>469</v>
      </c>
      <c r="F147" s="10">
        <v>83.78</v>
      </c>
      <c r="G147" s="8"/>
      <c r="H147" s="9" t="s">
        <v>511</v>
      </c>
      <c r="I147" s="9">
        <v>26.645754</v>
      </c>
      <c r="J147" s="9">
        <v>88.405009</v>
      </c>
      <c r="K147" s="9">
        <v>26.588905</v>
      </c>
      <c r="L147" s="9">
        <v>89.006972</v>
      </c>
      <c r="M147" s="9"/>
      <c r="N147" s="8"/>
      <c r="O147" s="11" t="s">
        <v>511</v>
      </c>
      <c r="P147" s="11" t="s">
        <v>481</v>
      </c>
      <c r="Q147" s="11" t="s">
        <v>513</v>
      </c>
      <c r="R147" s="11" t="s">
        <v>514</v>
      </c>
      <c r="S147" s="11">
        <v>83.0</v>
      </c>
      <c r="T147" s="4"/>
      <c r="U147" s="4"/>
      <c r="V147" s="4"/>
      <c r="W147" s="4"/>
      <c r="X147" s="4"/>
      <c r="Y147" s="4"/>
      <c r="Z147" s="4"/>
    </row>
    <row r="148">
      <c r="A148" s="8">
        <v>146.0</v>
      </c>
      <c r="B148" s="9" t="s">
        <v>18</v>
      </c>
      <c r="C148" s="10" t="s">
        <v>515</v>
      </c>
      <c r="D148" s="10">
        <v>4.0</v>
      </c>
      <c r="E148" s="10" t="s">
        <v>469</v>
      </c>
      <c r="F148" s="10">
        <v>10.31</v>
      </c>
      <c r="G148" s="8"/>
      <c r="H148" s="9" t="s">
        <v>18</v>
      </c>
      <c r="I148" s="14"/>
      <c r="J148" s="14"/>
      <c r="K148" s="14"/>
      <c r="L148" s="14"/>
      <c r="M148" s="9"/>
      <c r="N148" s="8"/>
      <c r="O148" s="11" t="s">
        <v>18</v>
      </c>
      <c r="P148" s="11" t="s">
        <v>481</v>
      </c>
      <c r="Q148" s="13" t="s">
        <v>516</v>
      </c>
      <c r="R148" s="11" t="s">
        <v>517</v>
      </c>
      <c r="S148" s="11">
        <v>10.0</v>
      </c>
      <c r="T148" s="4"/>
      <c r="U148" s="4"/>
      <c r="V148" s="4"/>
      <c r="W148" s="4"/>
      <c r="X148" s="4"/>
      <c r="Y148" s="4"/>
      <c r="Z148" s="4"/>
    </row>
    <row r="149">
      <c r="A149" s="8">
        <v>147.0</v>
      </c>
      <c r="B149" s="9" t="s">
        <v>500</v>
      </c>
      <c r="C149" s="10" t="s">
        <v>518</v>
      </c>
      <c r="D149" s="10">
        <v>4.0</v>
      </c>
      <c r="E149" s="10" t="s">
        <v>469</v>
      </c>
      <c r="F149" s="10">
        <v>78.0</v>
      </c>
      <c r="G149" s="8"/>
      <c r="H149" s="9" t="s">
        <v>500</v>
      </c>
      <c r="I149" s="9">
        <v>22.189484</v>
      </c>
      <c r="J149" s="9">
        <v>88.695512</v>
      </c>
      <c r="K149" s="9">
        <v>24.104493</v>
      </c>
      <c r="L149" s="9">
        <v>88.251064</v>
      </c>
      <c r="M149" s="9"/>
      <c r="N149" s="40"/>
      <c r="O149" s="11" t="s">
        <v>500</v>
      </c>
      <c r="P149" s="11" t="s">
        <v>502</v>
      </c>
      <c r="Q149" s="12" t="s">
        <v>519</v>
      </c>
      <c r="R149" s="12" t="s">
        <v>520</v>
      </c>
      <c r="S149" s="11">
        <v>89.0</v>
      </c>
      <c r="T149" s="4"/>
      <c r="U149" s="4"/>
      <c r="V149" s="4"/>
      <c r="W149" s="4"/>
      <c r="X149" s="4"/>
      <c r="Y149" s="4"/>
      <c r="Z149" s="4"/>
    </row>
    <row r="150">
      <c r="A150" s="8">
        <v>148.0</v>
      </c>
      <c r="B150" s="9" t="s">
        <v>21</v>
      </c>
      <c r="C150" s="10" t="s">
        <v>521</v>
      </c>
      <c r="D150" s="10">
        <v>4.0</v>
      </c>
      <c r="E150" s="10" t="s">
        <v>469</v>
      </c>
      <c r="F150" s="10">
        <v>26.5</v>
      </c>
      <c r="G150" s="8"/>
      <c r="H150" s="9" t="s">
        <v>21</v>
      </c>
      <c r="I150" s="14"/>
      <c r="J150" s="14"/>
      <c r="K150" s="14"/>
      <c r="L150" s="14"/>
      <c r="M150" s="9"/>
      <c r="N150" s="40"/>
      <c r="O150" s="11" t="s">
        <v>21</v>
      </c>
      <c r="P150" s="11" t="s">
        <v>22</v>
      </c>
      <c r="Q150" s="12" t="s">
        <v>522</v>
      </c>
      <c r="R150" s="12" t="s">
        <v>523</v>
      </c>
      <c r="S150" s="11">
        <v>58.0</v>
      </c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>
        <f>SUM(F3:F150)</f>
        <v>9571.794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>
        <f>SUM(S3:S150)</f>
        <v>11207.18</v>
      </c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1">
        <v>11207.18</v>
      </c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1">
        <v>9571.794</v>
      </c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>
        <f>Q154-Q155</f>
        <v>1635.386</v>
      </c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mergeCells count="3">
    <mergeCell ref="C1:F1"/>
    <mergeCell ref="H1:M1"/>
    <mergeCell ref="O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0.63"/>
    <col customWidth="1" min="9" max="9" width="19.13"/>
    <col customWidth="1" min="13" max="13" width="35.13"/>
    <col customWidth="1" min="16" max="16" width="16.5"/>
    <col customWidth="1" min="17" max="17" width="34.63"/>
    <col customWidth="1" min="18" max="18" width="19.13"/>
    <col customWidth="1" min="19" max="19" width="41.63"/>
  </cols>
  <sheetData>
    <row r="1">
      <c r="A1" s="1"/>
      <c r="B1" s="1"/>
      <c r="C1" s="2" t="s">
        <v>0</v>
      </c>
      <c r="G1" s="1"/>
      <c r="H1" s="3" t="s">
        <v>1</v>
      </c>
      <c r="N1" s="4"/>
      <c r="O1" s="5" t="s">
        <v>2</v>
      </c>
      <c r="T1" s="4"/>
      <c r="U1" s="4"/>
      <c r="V1" s="4"/>
      <c r="W1" s="4"/>
      <c r="X1" s="4"/>
      <c r="Y1" s="4"/>
      <c r="Z1" s="4"/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4"/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  <c r="T2" s="4"/>
      <c r="U2" s="4"/>
      <c r="V2" s="4"/>
      <c r="W2" s="4"/>
      <c r="X2" s="4"/>
      <c r="Y2" s="4"/>
      <c r="Z2" s="4"/>
    </row>
    <row r="3">
      <c r="A3" s="8">
        <v>1.0</v>
      </c>
      <c r="B3" s="9" t="s">
        <v>18</v>
      </c>
      <c r="C3" s="10" t="s">
        <v>19</v>
      </c>
      <c r="D3" s="10">
        <v>4.0</v>
      </c>
      <c r="E3" s="10" t="s">
        <v>20</v>
      </c>
      <c r="F3" s="10">
        <v>30.0</v>
      </c>
      <c r="G3" s="8"/>
      <c r="H3" s="9" t="s">
        <v>18</v>
      </c>
      <c r="I3" s="9">
        <v>26.616692</v>
      </c>
      <c r="J3" s="9">
        <v>90.723744</v>
      </c>
      <c r="K3" s="9">
        <v>26.130287</v>
      </c>
      <c r="L3" s="9">
        <v>91.797776</v>
      </c>
      <c r="M3" s="9">
        <v>184.0</v>
      </c>
      <c r="N3" s="4"/>
      <c r="O3" s="11" t="s">
        <v>21</v>
      </c>
      <c r="P3" s="11" t="s">
        <v>22</v>
      </c>
      <c r="Q3" s="42" t="s">
        <v>23</v>
      </c>
      <c r="R3" s="42" t="s">
        <v>24</v>
      </c>
      <c r="S3" s="13">
        <v>70.6</v>
      </c>
      <c r="T3" s="4"/>
      <c r="U3" s="4"/>
      <c r="V3" s="4"/>
      <c r="W3" s="4"/>
      <c r="X3" s="4"/>
      <c r="Y3" s="4"/>
      <c r="Z3" s="4"/>
    </row>
    <row r="4">
      <c r="A4" s="8">
        <v>2.0</v>
      </c>
      <c r="B4" s="9" t="s">
        <v>21</v>
      </c>
      <c r="C4" s="10" t="s">
        <v>25</v>
      </c>
      <c r="D4" s="10">
        <v>4.0</v>
      </c>
      <c r="E4" s="10" t="s">
        <v>20</v>
      </c>
      <c r="F4" s="10">
        <v>33.0</v>
      </c>
      <c r="G4" s="8"/>
      <c r="H4" s="9" t="s">
        <v>21</v>
      </c>
      <c r="I4" s="9">
        <v>26.616692</v>
      </c>
      <c r="J4" s="9">
        <v>90.723744</v>
      </c>
      <c r="K4" s="9">
        <v>26.130423</v>
      </c>
      <c r="L4" s="9">
        <v>91.797868</v>
      </c>
      <c r="M4" s="9">
        <v>184.0</v>
      </c>
      <c r="N4" s="4"/>
      <c r="O4" s="11" t="s">
        <v>21</v>
      </c>
      <c r="P4" s="11" t="s">
        <v>22</v>
      </c>
      <c r="Q4" s="42" t="s">
        <v>26</v>
      </c>
      <c r="R4" s="42" t="s">
        <v>27</v>
      </c>
      <c r="S4" s="13">
        <v>39.5</v>
      </c>
      <c r="T4" s="4"/>
      <c r="U4" s="4"/>
      <c r="V4" s="4"/>
      <c r="W4" s="4"/>
      <c r="X4" s="4"/>
      <c r="Y4" s="4"/>
      <c r="Z4" s="4"/>
    </row>
    <row r="5">
      <c r="A5" s="8">
        <v>3.0</v>
      </c>
      <c r="B5" s="9" t="s">
        <v>18</v>
      </c>
      <c r="C5" s="10" t="s">
        <v>28</v>
      </c>
      <c r="D5" s="10">
        <v>4.0</v>
      </c>
      <c r="E5" s="10" t="s">
        <v>20</v>
      </c>
      <c r="F5" s="10">
        <v>30.0</v>
      </c>
      <c r="G5" s="8"/>
      <c r="H5" s="9" t="s">
        <v>18</v>
      </c>
      <c r="I5" s="9">
        <v>26.353363</v>
      </c>
      <c r="J5" s="9">
        <v>91.398366</v>
      </c>
      <c r="K5" s="9">
        <v>27.342642</v>
      </c>
      <c r="L5" s="9">
        <v>95.407409</v>
      </c>
      <c r="M5" s="9">
        <v>514.0</v>
      </c>
      <c r="N5" s="4"/>
      <c r="O5" s="11" t="s">
        <v>18</v>
      </c>
      <c r="P5" s="11" t="s">
        <v>22</v>
      </c>
      <c r="Q5" s="42" t="s">
        <v>29</v>
      </c>
      <c r="R5" s="42" t="s">
        <v>30</v>
      </c>
      <c r="S5" s="13">
        <v>93.0</v>
      </c>
      <c r="T5" s="4"/>
      <c r="U5" s="4"/>
      <c r="V5" s="4"/>
      <c r="W5" s="4"/>
      <c r="X5" s="4"/>
      <c r="Y5" s="4"/>
      <c r="Z5" s="4"/>
    </row>
    <row r="6">
      <c r="A6" s="8">
        <v>4.0</v>
      </c>
      <c r="B6" s="9" t="s">
        <v>18</v>
      </c>
      <c r="C6" s="10" t="s">
        <v>31</v>
      </c>
      <c r="D6" s="10">
        <v>4.0</v>
      </c>
      <c r="E6" s="10" t="s">
        <v>20</v>
      </c>
      <c r="F6" s="10">
        <v>22.0</v>
      </c>
      <c r="G6" s="8"/>
      <c r="H6" s="9" t="s">
        <v>18</v>
      </c>
      <c r="I6" s="9">
        <v>26.353363</v>
      </c>
      <c r="J6" s="9">
        <v>91.398366</v>
      </c>
      <c r="K6" s="9"/>
      <c r="L6" s="9"/>
      <c r="M6" s="9"/>
      <c r="N6" s="4"/>
      <c r="O6" s="11" t="s">
        <v>18</v>
      </c>
      <c r="P6" s="11" t="s">
        <v>22</v>
      </c>
      <c r="Q6" s="42" t="s">
        <v>32</v>
      </c>
      <c r="R6" s="42" t="s">
        <v>33</v>
      </c>
      <c r="S6" s="11">
        <v>92.0</v>
      </c>
      <c r="T6" s="4"/>
      <c r="U6" s="4"/>
      <c r="V6" s="4"/>
      <c r="W6" s="4"/>
      <c r="X6" s="4"/>
      <c r="Y6" s="4"/>
      <c r="Z6" s="4"/>
    </row>
    <row r="7">
      <c r="A7" s="8">
        <v>5.0</v>
      </c>
      <c r="B7" s="9" t="s">
        <v>18</v>
      </c>
      <c r="C7" s="10" t="s">
        <v>34</v>
      </c>
      <c r="D7" s="10">
        <v>4.0</v>
      </c>
      <c r="E7" s="10" t="s">
        <v>20</v>
      </c>
      <c r="F7" s="10">
        <v>27.3</v>
      </c>
      <c r="G7" s="8"/>
      <c r="H7" s="9" t="s">
        <v>18</v>
      </c>
      <c r="I7" s="9">
        <v>26.353363</v>
      </c>
      <c r="J7" s="9">
        <v>91.398366</v>
      </c>
      <c r="K7" s="9">
        <v>27.342642</v>
      </c>
      <c r="L7" s="9">
        <v>95.407409</v>
      </c>
      <c r="M7" s="9">
        <v>517.0</v>
      </c>
      <c r="N7" s="4"/>
      <c r="O7" s="11" t="s">
        <v>18</v>
      </c>
      <c r="P7" s="11" t="s">
        <v>22</v>
      </c>
      <c r="Q7" s="42" t="s">
        <v>35</v>
      </c>
      <c r="R7" s="42" t="s">
        <v>36</v>
      </c>
      <c r="S7" s="13">
        <v>50.1</v>
      </c>
      <c r="T7" s="4"/>
      <c r="U7" s="4"/>
      <c r="V7" s="4"/>
      <c r="W7" s="4"/>
      <c r="X7" s="4"/>
      <c r="Y7" s="4"/>
      <c r="Z7" s="4"/>
    </row>
    <row r="8">
      <c r="A8" s="8">
        <v>6.0</v>
      </c>
      <c r="B8" s="9" t="s">
        <v>22</v>
      </c>
      <c r="C8" s="10" t="s">
        <v>37</v>
      </c>
      <c r="D8" s="10">
        <v>6.0</v>
      </c>
      <c r="E8" s="10" t="s">
        <v>20</v>
      </c>
      <c r="F8" s="10">
        <v>16.448</v>
      </c>
      <c r="G8" s="8"/>
      <c r="H8" s="9" t="s">
        <v>22</v>
      </c>
      <c r="I8" s="9">
        <v>26.11114</v>
      </c>
      <c r="J8" s="9">
        <v>91.68532</v>
      </c>
      <c r="K8" s="9">
        <v>26.094532</v>
      </c>
      <c r="L8" s="9">
        <v>91.785347</v>
      </c>
      <c r="M8" s="9">
        <v>15.9</v>
      </c>
      <c r="N8" s="4"/>
      <c r="O8" s="11" t="s">
        <v>22</v>
      </c>
      <c r="P8" s="11" t="s">
        <v>22</v>
      </c>
      <c r="Q8" s="42" t="s">
        <v>38</v>
      </c>
      <c r="R8" s="42" t="s">
        <v>39</v>
      </c>
      <c r="S8" s="13">
        <v>17.0</v>
      </c>
      <c r="T8" s="4"/>
      <c r="U8" s="4"/>
      <c r="V8" s="4"/>
      <c r="W8" s="4"/>
      <c r="X8" s="4"/>
      <c r="Y8" s="4"/>
      <c r="Z8" s="4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43">
        <v>203.452</v>
      </c>
      <c r="T9" s="4"/>
      <c r="U9" s="4"/>
      <c r="V9" s="4"/>
      <c r="W9" s="4"/>
      <c r="X9" s="4"/>
      <c r="Y9" s="4"/>
      <c r="Z9" s="4"/>
    </row>
    <row r="10">
      <c r="A10" s="1" t="s">
        <v>3</v>
      </c>
      <c r="B10" s="3" t="s">
        <v>4</v>
      </c>
      <c r="C10" s="6" t="s">
        <v>5</v>
      </c>
      <c r="D10" s="6" t="s">
        <v>6</v>
      </c>
      <c r="E10" s="6" t="s">
        <v>7</v>
      </c>
      <c r="F10" s="6" t="s">
        <v>8</v>
      </c>
      <c r="G10" s="1"/>
      <c r="H10" s="3" t="s">
        <v>4</v>
      </c>
      <c r="I10" s="3" t="s">
        <v>9</v>
      </c>
      <c r="J10" s="3" t="s">
        <v>10</v>
      </c>
      <c r="K10" s="3" t="s">
        <v>11</v>
      </c>
      <c r="L10" s="3" t="s">
        <v>12</v>
      </c>
      <c r="M10" s="7" t="s">
        <v>13</v>
      </c>
      <c r="N10" s="4"/>
      <c r="O10" s="5" t="s">
        <v>4</v>
      </c>
      <c r="P10" s="5" t="s">
        <v>14</v>
      </c>
      <c r="Q10" s="5" t="s">
        <v>15</v>
      </c>
      <c r="R10" s="5" t="s">
        <v>16</v>
      </c>
      <c r="S10" s="5" t="s">
        <v>17</v>
      </c>
      <c r="T10" s="4"/>
      <c r="U10" s="4"/>
      <c r="V10" s="4"/>
      <c r="W10" s="4"/>
      <c r="X10" s="4"/>
      <c r="Y10" s="4"/>
      <c r="Z10" s="4"/>
    </row>
    <row r="11">
      <c r="A11" s="8">
        <v>7.0</v>
      </c>
      <c r="B11" s="9" t="s">
        <v>40</v>
      </c>
      <c r="C11" s="10" t="s">
        <v>41</v>
      </c>
      <c r="D11" s="10">
        <v>4.0</v>
      </c>
      <c r="E11" s="10" t="s">
        <v>42</v>
      </c>
      <c r="F11" s="10">
        <v>38.0</v>
      </c>
      <c r="G11" s="4"/>
      <c r="H11" s="9" t="s">
        <v>40</v>
      </c>
      <c r="I11" s="14">
        <v>26.421117</v>
      </c>
      <c r="J11" s="14">
        <v>84.373913</v>
      </c>
      <c r="K11" s="14">
        <v>26.148255</v>
      </c>
      <c r="L11" s="14">
        <v>85.33161</v>
      </c>
      <c r="M11" s="9">
        <v>149.0</v>
      </c>
      <c r="N11" s="15"/>
      <c r="O11" s="11" t="s">
        <v>40</v>
      </c>
      <c r="P11" s="11" t="s">
        <v>22</v>
      </c>
      <c r="Q11" s="12" t="s">
        <v>43</v>
      </c>
      <c r="R11" s="12" t="s">
        <v>44</v>
      </c>
      <c r="S11" s="16">
        <v>44.2</v>
      </c>
      <c r="T11" s="4"/>
      <c r="U11" s="4"/>
      <c r="V11" s="4"/>
      <c r="W11" s="4"/>
      <c r="X11" s="4"/>
      <c r="Y11" s="4"/>
      <c r="Z11" s="4"/>
    </row>
    <row r="12">
      <c r="A12" s="8">
        <v>8.0</v>
      </c>
      <c r="B12" s="14"/>
      <c r="C12" s="10" t="s">
        <v>45</v>
      </c>
      <c r="D12" s="10">
        <v>4.0</v>
      </c>
      <c r="E12" s="10" t="s">
        <v>42</v>
      </c>
      <c r="F12" s="10">
        <v>80.0</v>
      </c>
      <c r="G12" s="4"/>
      <c r="H12" s="14"/>
      <c r="I12" s="14">
        <v>26.609648</v>
      </c>
      <c r="J12" s="14">
        <v>84.901163</v>
      </c>
      <c r="K12" s="14">
        <v>26.148255</v>
      </c>
      <c r="L12" s="14">
        <v>85.33161</v>
      </c>
      <c r="M12" s="9">
        <v>83.0</v>
      </c>
      <c r="N12" s="15"/>
      <c r="O12" s="17"/>
      <c r="P12" s="11" t="s">
        <v>22</v>
      </c>
      <c r="Q12" s="12" t="s">
        <v>46</v>
      </c>
      <c r="R12" s="12" t="s">
        <v>47</v>
      </c>
      <c r="S12" s="18">
        <v>83.0</v>
      </c>
      <c r="T12" s="4"/>
      <c r="U12" s="4"/>
      <c r="V12" s="4"/>
      <c r="W12" s="4"/>
      <c r="X12" s="4"/>
      <c r="Y12" s="4"/>
      <c r="Z12" s="4"/>
    </row>
    <row r="13">
      <c r="A13" s="8">
        <v>9.0</v>
      </c>
      <c r="B13" s="9" t="s">
        <v>22</v>
      </c>
      <c r="C13" s="10" t="s">
        <v>48</v>
      </c>
      <c r="D13" s="10">
        <v>4.0</v>
      </c>
      <c r="E13" s="10" t="s">
        <v>42</v>
      </c>
      <c r="F13" s="10">
        <v>80.0</v>
      </c>
      <c r="G13" s="4"/>
      <c r="H13" s="9" t="s">
        <v>22</v>
      </c>
      <c r="I13" s="14">
        <v>26.609648</v>
      </c>
      <c r="J13" s="14">
        <v>84.901163</v>
      </c>
      <c r="K13" s="14"/>
      <c r="L13" s="14"/>
      <c r="M13" s="9">
        <v>83.0</v>
      </c>
      <c r="N13" s="15"/>
      <c r="O13" s="11" t="s">
        <v>22</v>
      </c>
      <c r="P13" s="11" t="s">
        <v>22</v>
      </c>
      <c r="Q13" s="12" t="s">
        <v>46</v>
      </c>
      <c r="R13" s="12" t="s">
        <v>47</v>
      </c>
      <c r="S13" s="18">
        <v>83.0</v>
      </c>
      <c r="T13" s="4"/>
      <c r="U13" s="4"/>
      <c r="V13" s="4"/>
      <c r="W13" s="4"/>
      <c r="X13" s="4"/>
      <c r="Y13" s="4"/>
      <c r="Z13" s="4"/>
    </row>
    <row r="14">
      <c r="A14" s="8">
        <v>10.0</v>
      </c>
      <c r="B14" s="9" t="s">
        <v>49</v>
      </c>
      <c r="C14" s="10" t="s">
        <v>50</v>
      </c>
      <c r="D14" s="10">
        <v>4.0</v>
      </c>
      <c r="E14" s="10" t="s">
        <v>42</v>
      </c>
      <c r="F14" s="10">
        <v>277.053</v>
      </c>
      <c r="G14" s="4"/>
      <c r="H14" s="9" t="s">
        <v>49</v>
      </c>
      <c r="I14" s="14">
        <v>26.148255</v>
      </c>
      <c r="J14" s="14">
        <v>85.33161</v>
      </c>
      <c r="K14" s="14"/>
      <c r="L14" s="14"/>
      <c r="M14" s="9"/>
      <c r="N14" s="15"/>
      <c r="O14" s="11" t="s">
        <v>49</v>
      </c>
      <c r="P14" s="11" t="s">
        <v>22</v>
      </c>
      <c r="Q14" s="12" t="s">
        <v>51</v>
      </c>
      <c r="R14" s="12" t="s">
        <v>52</v>
      </c>
      <c r="S14" s="18">
        <v>293.0</v>
      </c>
      <c r="T14" s="4"/>
      <c r="U14" s="4"/>
      <c r="V14" s="4"/>
      <c r="W14" s="4"/>
      <c r="X14" s="4"/>
      <c r="Y14" s="4"/>
      <c r="Z14" s="4"/>
    </row>
    <row r="15">
      <c r="A15" s="8">
        <v>11.0</v>
      </c>
      <c r="B15" s="14"/>
      <c r="C15" s="10" t="s">
        <v>53</v>
      </c>
      <c r="D15" s="10">
        <v>4.0</v>
      </c>
      <c r="E15" s="10" t="s">
        <v>42</v>
      </c>
      <c r="F15" s="10">
        <v>54.75</v>
      </c>
      <c r="G15" s="4"/>
      <c r="H15" s="14"/>
      <c r="I15" s="14">
        <v>25.548466</v>
      </c>
      <c r="J15" s="14">
        <v>84.661632</v>
      </c>
      <c r="K15" s="14"/>
      <c r="L15" s="14"/>
      <c r="M15" s="9"/>
      <c r="N15" s="15"/>
      <c r="O15" s="17"/>
      <c r="P15" s="13" t="s">
        <v>54</v>
      </c>
      <c r="Q15" s="12" t="s">
        <v>55</v>
      </c>
      <c r="R15" s="12" t="s">
        <v>56</v>
      </c>
      <c r="S15" s="18">
        <v>118.0</v>
      </c>
      <c r="T15" s="4"/>
      <c r="U15" s="4"/>
      <c r="V15" s="4"/>
      <c r="W15" s="4"/>
      <c r="X15" s="4"/>
      <c r="Y15" s="4"/>
      <c r="Z15" s="4"/>
    </row>
    <row r="16">
      <c r="A16" s="8">
        <v>12.0</v>
      </c>
      <c r="B16" s="9" t="s">
        <v>57</v>
      </c>
      <c r="C16" s="10" t="s">
        <v>58</v>
      </c>
      <c r="D16" s="10">
        <v>4.0</v>
      </c>
      <c r="E16" s="10" t="s">
        <v>42</v>
      </c>
      <c r="F16" s="10">
        <v>47.9</v>
      </c>
      <c r="G16" s="4"/>
      <c r="H16" s="9" t="s">
        <v>57</v>
      </c>
      <c r="I16" s="14">
        <v>25.584032</v>
      </c>
      <c r="J16" s="14">
        <v>84.125913</v>
      </c>
      <c r="K16" s="14"/>
      <c r="L16" s="14"/>
      <c r="M16" s="9"/>
      <c r="N16" s="15"/>
      <c r="O16" s="11" t="s">
        <v>57</v>
      </c>
      <c r="P16" s="13" t="s">
        <v>59</v>
      </c>
      <c r="Q16" s="12" t="s">
        <v>60</v>
      </c>
      <c r="R16" s="12" t="s">
        <v>61</v>
      </c>
      <c r="S16" s="18">
        <v>79.7</v>
      </c>
      <c r="T16" s="4"/>
      <c r="U16" s="4"/>
      <c r="V16" s="4"/>
      <c r="W16" s="4"/>
      <c r="X16" s="4"/>
      <c r="Y16" s="4"/>
      <c r="Z16" s="4"/>
    </row>
    <row r="17">
      <c r="A17" s="8">
        <v>13.0</v>
      </c>
      <c r="B17" s="14"/>
      <c r="C17" s="10" t="s">
        <v>62</v>
      </c>
      <c r="D17" s="10">
        <v>2.0</v>
      </c>
      <c r="E17" s="10" t="s">
        <v>42</v>
      </c>
      <c r="F17" s="10">
        <v>108.0</v>
      </c>
      <c r="G17" s="4"/>
      <c r="H17" s="14"/>
      <c r="I17" s="14">
        <v>26.148255</v>
      </c>
      <c r="J17" s="14">
        <v>85.33161</v>
      </c>
      <c r="K17" s="14">
        <v>25.431454</v>
      </c>
      <c r="L17" s="14">
        <v>86.028375</v>
      </c>
      <c r="M17" s="9">
        <v>115.0</v>
      </c>
      <c r="N17" s="15"/>
      <c r="O17" s="17"/>
      <c r="P17" s="13" t="s">
        <v>63</v>
      </c>
      <c r="Q17" s="12" t="s">
        <v>47</v>
      </c>
      <c r="R17" s="12" t="s">
        <v>64</v>
      </c>
      <c r="S17" s="18">
        <v>115.0</v>
      </c>
      <c r="T17" s="4"/>
      <c r="U17" s="4"/>
      <c r="V17" s="4"/>
      <c r="W17" s="4"/>
      <c r="X17" s="4"/>
      <c r="Y17" s="4"/>
      <c r="Z17" s="4"/>
    </row>
    <row r="18">
      <c r="A18" s="8">
        <v>14.0</v>
      </c>
      <c r="B18" s="9" t="s">
        <v>65</v>
      </c>
      <c r="C18" s="10" t="s">
        <v>66</v>
      </c>
      <c r="D18" s="10">
        <v>2.0</v>
      </c>
      <c r="E18" s="10" t="s">
        <v>42</v>
      </c>
      <c r="F18" s="10">
        <v>54.575</v>
      </c>
      <c r="G18" s="4"/>
      <c r="H18" s="9" t="s">
        <v>65</v>
      </c>
      <c r="I18" s="14">
        <v>25.203512</v>
      </c>
      <c r="J18" s="14">
        <v>85.526091</v>
      </c>
      <c r="K18" s="14">
        <v>25.395805</v>
      </c>
      <c r="L18" s="14">
        <v>85.922064</v>
      </c>
      <c r="M18" s="9"/>
      <c r="N18" s="15"/>
      <c r="O18" s="11" t="s">
        <v>65</v>
      </c>
      <c r="P18" s="11" t="s">
        <v>67</v>
      </c>
      <c r="Q18" s="12" t="s">
        <v>68</v>
      </c>
      <c r="R18" s="12" t="s">
        <v>69</v>
      </c>
      <c r="S18" s="18">
        <v>54.5</v>
      </c>
      <c r="T18" s="4"/>
      <c r="U18" s="4"/>
      <c r="V18" s="4"/>
      <c r="W18" s="4"/>
      <c r="X18" s="4"/>
      <c r="Y18" s="4"/>
      <c r="Z18" s="4"/>
    </row>
    <row r="19">
      <c r="A19" s="8">
        <v>15.0</v>
      </c>
      <c r="B19" s="9" t="s">
        <v>18</v>
      </c>
      <c r="C19" s="10" t="s">
        <v>70</v>
      </c>
      <c r="D19" s="10">
        <v>2.0</v>
      </c>
      <c r="E19" s="10" t="s">
        <v>42</v>
      </c>
      <c r="F19" s="10">
        <v>140.0</v>
      </c>
      <c r="G19" s="4"/>
      <c r="H19" s="9" t="s">
        <v>18</v>
      </c>
      <c r="I19" s="14">
        <v>25.493051</v>
      </c>
      <c r="J19" s="14">
        <v>86.698226</v>
      </c>
      <c r="K19" s="14">
        <v>25.77736</v>
      </c>
      <c r="L19" s="14">
        <v>87.473123</v>
      </c>
      <c r="M19" s="9"/>
      <c r="N19" s="15"/>
      <c r="O19" s="11" t="s">
        <v>18</v>
      </c>
      <c r="P19" s="11" t="s">
        <v>18</v>
      </c>
      <c r="Q19" s="12" t="s">
        <v>71</v>
      </c>
      <c r="R19" s="12" t="s">
        <v>72</v>
      </c>
      <c r="S19" s="18">
        <v>136.0</v>
      </c>
      <c r="T19" s="4"/>
      <c r="U19" s="4"/>
      <c r="V19" s="4"/>
      <c r="W19" s="4"/>
      <c r="X19" s="4"/>
      <c r="Y19" s="4"/>
      <c r="Z19" s="4"/>
    </row>
    <row r="20">
      <c r="A20" s="8">
        <v>16.0</v>
      </c>
      <c r="B20" s="9" t="s">
        <v>73</v>
      </c>
      <c r="C20" s="10" t="s">
        <v>74</v>
      </c>
      <c r="D20" s="10">
        <v>2.0</v>
      </c>
      <c r="E20" s="10" t="s">
        <v>42</v>
      </c>
      <c r="F20" s="10">
        <v>68.57</v>
      </c>
      <c r="G20" s="4"/>
      <c r="H20" s="9" t="s">
        <v>73</v>
      </c>
      <c r="I20" s="14">
        <v>25.395805</v>
      </c>
      <c r="J20" s="14">
        <v>85.922064</v>
      </c>
      <c r="K20" s="14">
        <v>25.220286</v>
      </c>
      <c r="L20" s="14">
        <v>86.516148</v>
      </c>
      <c r="M20" s="9"/>
      <c r="N20" s="15"/>
      <c r="O20" s="11" t="s">
        <v>73</v>
      </c>
      <c r="P20" s="11" t="s">
        <v>67</v>
      </c>
      <c r="Q20" s="12" t="s">
        <v>75</v>
      </c>
      <c r="R20" s="12" t="s">
        <v>76</v>
      </c>
      <c r="S20" s="18">
        <v>82.0</v>
      </c>
      <c r="T20" s="4"/>
      <c r="U20" s="4"/>
      <c r="V20" s="4"/>
      <c r="W20" s="4"/>
      <c r="X20" s="4"/>
      <c r="Y20" s="4"/>
      <c r="Z20" s="4"/>
    </row>
    <row r="21">
      <c r="A21" s="8">
        <v>17.0</v>
      </c>
      <c r="B21" s="9" t="s">
        <v>49</v>
      </c>
      <c r="C21" s="10" t="s">
        <v>77</v>
      </c>
      <c r="D21" s="10">
        <v>4.0</v>
      </c>
      <c r="E21" s="10" t="s">
        <v>42</v>
      </c>
      <c r="F21" s="10">
        <v>10.64</v>
      </c>
      <c r="G21" s="4"/>
      <c r="H21" s="9" t="s">
        <v>49</v>
      </c>
      <c r="I21" s="14"/>
      <c r="J21" s="14"/>
      <c r="K21" s="14"/>
      <c r="L21" s="14"/>
      <c r="M21" s="9"/>
      <c r="N21" s="15"/>
      <c r="O21" s="11" t="s">
        <v>49</v>
      </c>
      <c r="P21" s="13" t="s">
        <v>22</v>
      </c>
      <c r="Q21" s="12" t="s">
        <v>78</v>
      </c>
      <c r="R21" s="12" t="s">
        <v>79</v>
      </c>
      <c r="S21" s="18">
        <v>10.0</v>
      </c>
      <c r="T21" s="4"/>
      <c r="U21" s="4"/>
      <c r="V21" s="4"/>
      <c r="W21" s="4"/>
      <c r="X21" s="4"/>
      <c r="Y21" s="4"/>
      <c r="Z21" s="4"/>
    </row>
    <row r="22">
      <c r="A22" s="8">
        <v>18.0</v>
      </c>
      <c r="B22" s="9" t="s">
        <v>80</v>
      </c>
      <c r="C22" s="10" t="s">
        <v>81</v>
      </c>
      <c r="D22" s="10">
        <v>4.0</v>
      </c>
      <c r="E22" s="10" t="s">
        <v>42</v>
      </c>
      <c r="F22" s="10">
        <v>49.0</v>
      </c>
      <c r="G22" s="4"/>
      <c r="H22" s="9" t="s">
        <v>80</v>
      </c>
      <c r="I22" s="14"/>
      <c r="J22" s="14"/>
      <c r="K22" s="14">
        <v>25.77736</v>
      </c>
      <c r="L22" s="14">
        <v>87.473123</v>
      </c>
      <c r="M22" s="9"/>
      <c r="N22" s="15"/>
      <c r="O22" s="11" t="s">
        <v>80</v>
      </c>
      <c r="P22" s="11" t="s">
        <v>80</v>
      </c>
      <c r="Q22" s="12" t="s">
        <v>82</v>
      </c>
      <c r="R22" s="12" t="s">
        <v>83</v>
      </c>
      <c r="S22" s="18">
        <v>68.0</v>
      </c>
      <c r="T22" s="4"/>
      <c r="U22" s="4"/>
      <c r="V22" s="4"/>
      <c r="W22" s="4"/>
      <c r="X22" s="4"/>
      <c r="Y22" s="4"/>
      <c r="Z22" s="4"/>
    </row>
    <row r="23">
      <c r="A23" s="8">
        <v>19.0</v>
      </c>
      <c r="B23" s="9" t="s">
        <v>84</v>
      </c>
      <c r="C23" s="10" t="s">
        <v>85</v>
      </c>
      <c r="D23" s="10">
        <v>4.0</v>
      </c>
      <c r="E23" s="10" t="s">
        <v>42</v>
      </c>
      <c r="F23" s="10">
        <v>44.995</v>
      </c>
      <c r="G23" s="4"/>
      <c r="H23" s="9" t="s">
        <v>84</v>
      </c>
      <c r="I23" s="14"/>
      <c r="J23" s="14"/>
      <c r="K23" s="14">
        <v>21.674181</v>
      </c>
      <c r="L23" s="14">
        <v>76.38168</v>
      </c>
      <c r="M23" s="9"/>
      <c r="N23" s="19"/>
      <c r="O23" s="11" t="s">
        <v>84</v>
      </c>
      <c r="P23" s="11" t="s">
        <v>84</v>
      </c>
      <c r="Q23" s="12" t="s">
        <v>86</v>
      </c>
      <c r="R23" s="12" t="s">
        <v>87</v>
      </c>
      <c r="S23" s="18">
        <v>54.9</v>
      </c>
      <c r="T23" s="4"/>
      <c r="U23" s="4"/>
      <c r="V23" s="4"/>
      <c r="W23" s="4"/>
      <c r="X23" s="4"/>
      <c r="Y23" s="4"/>
      <c r="Z23" s="4"/>
    </row>
    <row r="24">
      <c r="A24" s="8">
        <v>20.0</v>
      </c>
      <c r="B24" s="9" t="s">
        <v>88</v>
      </c>
      <c r="C24" s="10" t="s">
        <v>89</v>
      </c>
      <c r="D24" s="10">
        <v>4.0</v>
      </c>
      <c r="E24" s="10" t="s">
        <v>42</v>
      </c>
      <c r="F24" s="10">
        <v>9.26</v>
      </c>
      <c r="G24" s="4"/>
      <c r="H24" s="9" t="s">
        <v>88</v>
      </c>
      <c r="I24" s="14">
        <v>26.304911</v>
      </c>
      <c r="J24" s="14">
        <v>87.263285</v>
      </c>
      <c r="K24" s="14"/>
      <c r="L24" s="14"/>
      <c r="M24" s="9"/>
      <c r="N24" s="15"/>
      <c r="O24" s="11" t="s">
        <v>88</v>
      </c>
      <c r="P24" s="11" t="s">
        <v>88</v>
      </c>
      <c r="Q24" s="12" t="s">
        <v>90</v>
      </c>
      <c r="R24" s="12" t="s">
        <v>91</v>
      </c>
      <c r="S24" s="18">
        <v>14.0</v>
      </c>
      <c r="T24" s="4"/>
      <c r="U24" s="4"/>
      <c r="V24" s="4"/>
      <c r="W24" s="4"/>
      <c r="X24" s="4"/>
      <c r="Y24" s="4"/>
      <c r="Z24" s="4"/>
    </row>
    <row r="25">
      <c r="A25" s="8">
        <v>21.0</v>
      </c>
      <c r="B25" s="9" t="s">
        <v>84</v>
      </c>
      <c r="C25" s="10" t="s">
        <v>92</v>
      </c>
      <c r="D25" s="10">
        <v>4.0</v>
      </c>
      <c r="E25" s="10" t="s">
        <v>42</v>
      </c>
      <c r="F25" s="10">
        <v>49.0</v>
      </c>
      <c r="G25" s="4"/>
      <c r="H25" s="9" t="s">
        <v>84</v>
      </c>
      <c r="I25" s="14">
        <v>26.527434</v>
      </c>
      <c r="J25" s="14">
        <v>88.113383</v>
      </c>
      <c r="K25" s="14"/>
      <c r="L25" s="14"/>
      <c r="M25" s="9"/>
      <c r="N25" s="15"/>
      <c r="O25" s="11" t="s">
        <v>84</v>
      </c>
      <c r="P25" s="11" t="s">
        <v>84</v>
      </c>
      <c r="Q25" s="12" t="s">
        <v>93</v>
      </c>
      <c r="R25" s="12" t="s">
        <v>94</v>
      </c>
      <c r="S25" s="18">
        <v>51.5</v>
      </c>
      <c r="T25" s="4"/>
      <c r="U25" s="4"/>
      <c r="V25" s="4"/>
      <c r="W25" s="4"/>
      <c r="X25" s="4"/>
      <c r="Y25" s="4"/>
      <c r="Z25" s="4"/>
    </row>
    <row r="26">
      <c r="A26" s="8">
        <v>22.0</v>
      </c>
      <c r="B26" s="9" t="s">
        <v>95</v>
      </c>
      <c r="C26" s="10" t="s">
        <v>96</v>
      </c>
      <c r="D26" s="10">
        <v>4.0</v>
      </c>
      <c r="E26" s="10" t="s">
        <v>42</v>
      </c>
      <c r="F26" s="10">
        <v>63.17</v>
      </c>
      <c r="G26" s="4"/>
      <c r="H26" s="9" t="s">
        <v>95</v>
      </c>
      <c r="I26" s="14">
        <v>25.69057</v>
      </c>
      <c r="J26" s="14">
        <v>85.209035</v>
      </c>
      <c r="K26" s="14"/>
      <c r="L26" s="14"/>
      <c r="M26" s="9"/>
      <c r="N26" s="15"/>
      <c r="O26" s="11" t="s">
        <v>95</v>
      </c>
      <c r="P26" s="20"/>
      <c r="Q26" s="12" t="s">
        <v>97</v>
      </c>
      <c r="R26" s="12" t="s">
        <v>98</v>
      </c>
      <c r="S26" s="18">
        <v>58.0</v>
      </c>
      <c r="T26" s="4"/>
      <c r="U26" s="4"/>
      <c r="V26" s="4"/>
      <c r="W26" s="4"/>
      <c r="X26" s="4"/>
      <c r="Y26" s="4"/>
      <c r="Z26" s="4"/>
    </row>
    <row r="27">
      <c r="A27" s="8">
        <v>23.0</v>
      </c>
      <c r="B27" s="9" t="s">
        <v>18</v>
      </c>
      <c r="C27" s="10" t="s">
        <v>99</v>
      </c>
      <c r="D27" s="10">
        <v>4.0</v>
      </c>
      <c r="E27" s="10" t="s">
        <v>42</v>
      </c>
      <c r="F27" s="10">
        <v>36.3</v>
      </c>
      <c r="G27" s="4"/>
      <c r="H27" s="9" t="s">
        <v>18</v>
      </c>
      <c r="I27" s="14">
        <v>25.77736</v>
      </c>
      <c r="J27" s="14">
        <v>87.473123</v>
      </c>
      <c r="K27" s="14"/>
      <c r="L27" s="14"/>
      <c r="M27" s="9"/>
      <c r="N27" s="15"/>
      <c r="O27" s="11" t="s">
        <v>18</v>
      </c>
      <c r="P27" s="13" t="s">
        <v>22</v>
      </c>
      <c r="Q27" s="12" t="s">
        <v>100</v>
      </c>
      <c r="R27" s="12" t="s">
        <v>101</v>
      </c>
      <c r="S27" s="18">
        <v>36.0</v>
      </c>
      <c r="T27" s="4"/>
      <c r="U27" s="4"/>
      <c r="V27" s="4"/>
      <c r="W27" s="4"/>
      <c r="X27" s="4"/>
      <c r="Y27" s="4"/>
      <c r="Z27" s="4"/>
    </row>
    <row r="28">
      <c r="A28" s="8">
        <v>24.0</v>
      </c>
      <c r="B28" s="9" t="s">
        <v>102</v>
      </c>
      <c r="C28" s="10" t="s">
        <v>103</v>
      </c>
      <c r="D28" s="10">
        <v>6.0</v>
      </c>
      <c r="E28" s="10" t="s">
        <v>42</v>
      </c>
      <c r="F28" s="10">
        <v>39.16</v>
      </c>
      <c r="G28" s="4"/>
      <c r="H28" s="9" t="s">
        <v>102</v>
      </c>
      <c r="I28" s="14">
        <v>25.994068</v>
      </c>
      <c r="J28" s="14">
        <v>86.158152</v>
      </c>
      <c r="K28" s="14">
        <v>21.674181</v>
      </c>
      <c r="L28" s="14">
        <v>76.38168</v>
      </c>
      <c r="M28" s="9"/>
      <c r="N28" s="15"/>
      <c r="O28" s="11" t="s">
        <v>102</v>
      </c>
      <c r="P28" s="11" t="s">
        <v>102</v>
      </c>
      <c r="Q28" s="12" t="s">
        <v>104</v>
      </c>
      <c r="R28" s="12" t="s">
        <v>105</v>
      </c>
      <c r="S28" s="18">
        <v>43.9</v>
      </c>
      <c r="T28" s="4"/>
      <c r="U28" s="4"/>
      <c r="V28" s="4"/>
      <c r="W28" s="4"/>
      <c r="X28" s="4"/>
      <c r="Y28" s="4"/>
      <c r="Z28" s="4"/>
    </row>
    <row r="29">
      <c r="A29" s="8">
        <v>25.0</v>
      </c>
      <c r="B29" s="14"/>
      <c r="C29" s="10" t="s">
        <v>106</v>
      </c>
      <c r="D29" s="10">
        <v>4.0</v>
      </c>
      <c r="E29" s="10" t="s">
        <v>42</v>
      </c>
      <c r="F29" s="10">
        <v>47.225</v>
      </c>
      <c r="G29" s="4"/>
      <c r="H29" s="14"/>
      <c r="I29" s="14">
        <v>25.458623</v>
      </c>
      <c r="J29" s="14">
        <v>85.536902</v>
      </c>
      <c r="K29" s="14">
        <v>21.674181</v>
      </c>
      <c r="L29" s="14">
        <v>76.38168</v>
      </c>
      <c r="M29" s="9"/>
      <c r="N29" s="15"/>
      <c r="O29" s="17"/>
      <c r="P29" s="20"/>
      <c r="Q29" s="12" t="s">
        <v>107</v>
      </c>
      <c r="R29" s="12" t="s">
        <v>108</v>
      </c>
      <c r="S29" s="18">
        <v>94.5</v>
      </c>
      <c r="T29" s="4"/>
      <c r="U29" s="4"/>
      <c r="V29" s="4"/>
      <c r="W29" s="4"/>
      <c r="X29" s="4"/>
      <c r="Y29" s="4"/>
      <c r="Z29" s="4"/>
    </row>
    <row r="30">
      <c r="A30" s="8">
        <v>26.0</v>
      </c>
      <c r="B30" s="14"/>
      <c r="C30" s="10" t="s">
        <v>109</v>
      </c>
      <c r="D30" s="10">
        <v>2.0</v>
      </c>
      <c r="E30" s="10" t="s">
        <v>42</v>
      </c>
      <c r="F30" s="10">
        <v>94.26</v>
      </c>
      <c r="G30" s="4"/>
      <c r="H30" s="14"/>
      <c r="I30" s="14">
        <v>25.773344</v>
      </c>
      <c r="J30" s="14">
        <v>84.784977</v>
      </c>
      <c r="K30" s="14">
        <v>26.421117</v>
      </c>
      <c r="L30" s="14">
        <v>84.373913</v>
      </c>
      <c r="M30" s="9"/>
      <c r="N30" s="15"/>
      <c r="O30" s="17"/>
      <c r="P30" s="20"/>
      <c r="Q30" s="12" t="s">
        <v>110</v>
      </c>
      <c r="R30" s="12" t="s">
        <v>111</v>
      </c>
      <c r="S30" s="18">
        <v>100.0</v>
      </c>
      <c r="T30" s="4"/>
      <c r="U30" s="4"/>
      <c r="V30" s="4"/>
      <c r="W30" s="4"/>
      <c r="X30" s="4"/>
      <c r="Y30" s="4"/>
      <c r="Z30" s="4"/>
    </row>
    <row r="31">
      <c r="A31" s="8">
        <v>27.0</v>
      </c>
      <c r="B31" s="14"/>
      <c r="C31" s="10" t="s">
        <v>112</v>
      </c>
      <c r="D31" s="10">
        <v>2.0</v>
      </c>
      <c r="E31" s="10" t="s">
        <v>42</v>
      </c>
      <c r="F31" s="10">
        <v>73.07</v>
      </c>
      <c r="G31" s="4"/>
      <c r="H31" s="14"/>
      <c r="I31" s="14">
        <v>25.773344</v>
      </c>
      <c r="J31" s="14">
        <v>84.784977</v>
      </c>
      <c r="K31" s="14">
        <v>26.148255</v>
      </c>
      <c r="L31" s="14">
        <v>85.33161</v>
      </c>
      <c r="M31" s="9"/>
      <c r="N31" s="8"/>
      <c r="O31" s="17"/>
      <c r="P31" s="20"/>
      <c r="Q31" s="11" t="s">
        <v>113</v>
      </c>
      <c r="R31" s="11" t="s">
        <v>98</v>
      </c>
      <c r="S31" s="18">
        <v>81.0</v>
      </c>
      <c r="T31" s="4"/>
      <c r="U31" s="4"/>
      <c r="V31" s="4"/>
      <c r="W31" s="4"/>
      <c r="X31" s="4"/>
      <c r="Y31" s="4"/>
      <c r="Z31" s="4"/>
    </row>
    <row r="32">
      <c r="A32" s="21">
        <v>28.0</v>
      </c>
      <c r="B32" s="9" t="s">
        <v>114</v>
      </c>
      <c r="C32" s="10" t="s">
        <v>115</v>
      </c>
      <c r="D32" s="10">
        <v>2.0</v>
      </c>
      <c r="E32" s="10" t="s">
        <v>42</v>
      </c>
      <c r="F32" s="10">
        <v>14.52</v>
      </c>
      <c r="G32" s="4"/>
      <c r="H32" s="9" t="s">
        <v>114</v>
      </c>
      <c r="I32" s="14">
        <v>21.674181</v>
      </c>
      <c r="J32" s="14">
        <v>76.38168</v>
      </c>
      <c r="K32" s="14"/>
      <c r="L32" s="14"/>
      <c r="M32" s="9"/>
      <c r="N32" s="8"/>
      <c r="O32" s="11" t="s">
        <v>114</v>
      </c>
      <c r="P32" s="11" t="s">
        <v>116</v>
      </c>
      <c r="Q32" s="11" t="s">
        <v>117</v>
      </c>
      <c r="R32" s="11" t="s">
        <v>118</v>
      </c>
      <c r="S32" s="18">
        <v>19.0</v>
      </c>
      <c r="T32" s="4"/>
      <c r="U32" s="4"/>
      <c r="V32" s="4"/>
      <c r="W32" s="4"/>
      <c r="X32" s="4"/>
      <c r="Y32" s="4"/>
      <c r="Z32" s="4"/>
    </row>
    <row r="33">
      <c r="A33" s="21">
        <v>29.0</v>
      </c>
      <c r="B33" s="9" t="s">
        <v>119</v>
      </c>
      <c r="C33" s="10" t="s">
        <v>120</v>
      </c>
      <c r="D33" s="10">
        <v>4.0</v>
      </c>
      <c r="E33" s="10" t="s">
        <v>42</v>
      </c>
      <c r="F33" s="10">
        <v>43.85</v>
      </c>
      <c r="G33" s="4"/>
      <c r="H33" s="9" t="s">
        <v>119</v>
      </c>
      <c r="I33" s="14">
        <v>25.58012</v>
      </c>
      <c r="J33" s="14">
        <v>84.757256</v>
      </c>
      <c r="K33" s="14"/>
      <c r="L33" s="14"/>
      <c r="M33" s="9"/>
      <c r="N33" s="8"/>
      <c r="O33" s="11" t="s">
        <v>119</v>
      </c>
      <c r="P33" s="20"/>
      <c r="Q33" s="11" t="s">
        <v>121</v>
      </c>
      <c r="R33" s="11" t="s">
        <v>122</v>
      </c>
      <c r="S33" s="18">
        <v>30.0</v>
      </c>
      <c r="T33" s="4"/>
      <c r="U33" s="4"/>
      <c r="V33" s="4"/>
      <c r="W33" s="4"/>
      <c r="X33" s="4"/>
      <c r="Y33" s="4"/>
      <c r="Z33" s="4"/>
    </row>
    <row r="34">
      <c r="A34" s="21">
        <v>30.0</v>
      </c>
      <c r="B34" s="9" t="s">
        <v>95</v>
      </c>
      <c r="C34" s="10" t="s">
        <v>123</v>
      </c>
      <c r="D34" s="10">
        <v>2.0</v>
      </c>
      <c r="E34" s="10" t="s">
        <v>42</v>
      </c>
      <c r="F34" s="10">
        <v>82.08</v>
      </c>
      <c r="G34" s="4"/>
      <c r="H34" s="9" t="s">
        <v>95</v>
      </c>
      <c r="I34" s="14">
        <v>26.148255</v>
      </c>
      <c r="J34" s="14">
        <v>85.33161</v>
      </c>
      <c r="K34" s="14">
        <v>25.701332</v>
      </c>
      <c r="L34" s="14">
        <v>86.779366</v>
      </c>
      <c r="M34" s="9"/>
      <c r="N34" s="8"/>
      <c r="O34" s="11" t="s">
        <v>95</v>
      </c>
      <c r="P34" s="20"/>
      <c r="Q34" s="11" t="s">
        <v>124</v>
      </c>
      <c r="R34" s="11" t="s">
        <v>125</v>
      </c>
      <c r="S34" s="18">
        <v>179.0</v>
      </c>
      <c r="T34" s="4"/>
      <c r="U34" s="4"/>
      <c r="V34" s="4"/>
      <c r="W34" s="4"/>
      <c r="X34" s="4"/>
      <c r="Y34" s="4"/>
      <c r="Z34" s="4"/>
    </row>
    <row r="35">
      <c r="A35" s="21">
        <v>31.0</v>
      </c>
      <c r="B35" s="9" t="s">
        <v>119</v>
      </c>
      <c r="C35" s="10" t="s">
        <v>126</v>
      </c>
      <c r="D35" s="10">
        <v>4.0</v>
      </c>
      <c r="E35" s="10" t="s">
        <v>42</v>
      </c>
      <c r="F35" s="10">
        <v>50.45</v>
      </c>
      <c r="G35" s="4"/>
      <c r="H35" s="9" t="s">
        <v>119</v>
      </c>
      <c r="I35" s="14"/>
      <c r="J35" s="14"/>
      <c r="K35" s="14"/>
      <c r="L35" s="14"/>
      <c r="M35" s="9"/>
      <c r="N35" s="8"/>
      <c r="O35" s="11" t="s">
        <v>119</v>
      </c>
      <c r="P35" s="20"/>
      <c r="Q35" s="11" t="s">
        <v>127</v>
      </c>
      <c r="R35" s="11" t="s">
        <v>128</v>
      </c>
      <c r="S35" s="18">
        <v>49.0</v>
      </c>
      <c r="T35" s="4"/>
      <c r="U35" s="4"/>
      <c r="V35" s="4"/>
      <c r="W35" s="4"/>
      <c r="X35" s="4"/>
      <c r="Y35" s="4"/>
      <c r="Z35" s="4"/>
    </row>
    <row r="36">
      <c r="A36" s="21">
        <v>32.0</v>
      </c>
      <c r="B36" s="14"/>
      <c r="C36" s="10" t="s">
        <v>129</v>
      </c>
      <c r="D36" s="10">
        <v>4.0</v>
      </c>
      <c r="E36" s="10" t="s">
        <v>42</v>
      </c>
      <c r="F36" s="10">
        <v>60.23</v>
      </c>
      <c r="G36" s="4"/>
      <c r="H36" s="14"/>
      <c r="I36" s="14">
        <v>25.410723</v>
      </c>
      <c r="J36" s="14">
        <v>86.013734</v>
      </c>
      <c r="K36" s="14">
        <v>25.493051</v>
      </c>
      <c r="L36" s="14">
        <v>86.698226</v>
      </c>
      <c r="M36" s="9"/>
      <c r="N36" s="8"/>
      <c r="O36" s="17"/>
      <c r="P36" s="20"/>
      <c r="Q36" s="11" t="s">
        <v>130</v>
      </c>
      <c r="R36" s="11" t="s">
        <v>131</v>
      </c>
      <c r="S36" s="18">
        <v>60.0</v>
      </c>
      <c r="T36" s="4"/>
      <c r="U36" s="4"/>
      <c r="V36" s="4"/>
      <c r="W36" s="4"/>
      <c r="X36" s="4"/>
      <c r="Y36" s="4"/>
      <c r="Z36" s="4"/>
    </row>
    <row r="37">
      <c r="A37" s="21">
        <v>33.0</v>
      </c>
      <c r="B37" s="9" t="s">
        <v>22</v>
      </c>
      <c r="C37" s="10" t="s">
        <v>132</v>
      </c>
      <c r="D37" s="10">
        <v>4.0</v>
      </c>
      <c r="E37" s="10" t="s">
        <v>42</v>
      </c>
      <c r="F37" s="10">
        <v>79.085</v>
      </c>
      <c r="G37" s="4"/>
      <c r="H37" s="9" t="s">
        <v>22</v>
      </c>
      <c r="I37" s="14"/>
      <c r="J37" s="14"/>
      <c r="K37" s="14">
        <v>26.503818</v>
      </c>
      <c r="L37" s="14">
        <v>84.852181</v>
      </c>
      <c r="M37" s="9"/>
      <c r="N37" s="8"/>
      <c r="O37" s="11" t="s">
        <v>22</v>
      </c>
      <c r="P37" s="11" t="s">
        <v>22</v>
      </c>
      <c r="Q37" s="11" t="s">
        <v>133</v>
      </c>
      <c r="R37" s="11" t="s">
        <v>134</v>
      </c>
      <c r="S37" s="18">
        <v>123.0</v>
      </c>
      <c r="T37" s="4"/>
      <c r="U37" s="4"/>
      <c r="V37" s="4"/>
      <c r="W37" s="4"/>
      <c r="X37" s="4"/>
      <c r="Y37" s="4"/>
      <c r="Z37" s="4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41">
        <v>365.057</v>
      </c>
      <c r="T38" s="4"/>
      <c r="U38" s="4"/>
      <c r="V38" s="4"/>
      <c r="W38" s="4"/>
      <c r="X38" s="4"/>
      <c r="Y38" s="4"/>
      <c r="Z38" s="4"/>
    </row>
    <row r="39">
      <c r="A39" s="1" t="s">
        <v>3</v>
      </c>
      <c r="B39" s="3" t="s">
        <v>4</v>
      </c>
      <c r="C39" s="6" t="s">
        <v>5</v>
      </c>
      <c r="D39" s="6" t="s">
        <v>6</v>
      </c>
      <c r="E39" s="6" t="s">
        <v>7</v>
      </c>
      <c r="F39" s="6" t="s">
        <v>8</v>
      </c>
      <c r="G39" s="1"/>
      <c r="H39" s="3" t="s">
        <v>4</v>
      </c>
      <c r="I39" s="3" t="s">
        <v>9</v>
      </c>
      <c r="J39" s="3" t="s">
        <v>10</v>
      </c>
      <c r="K39" s="3" t="s">
        <v>11</v>
      </c>
      <c r="L39" s="3" t="s">
        <v>12</v>
      </c>
      <c r="M39" s="7" t="s">
        <v>13</v>
      </c>
      <c r="N39" s="4"/>
      <c r="O39" s="5" t="s">
        <v>4</v>
      </c>
      <c r="P39" s="5" t="s">
        <v>14</v>
      </c>
      <c r="Q39" s="5" t="s">
        <v>15</v>
      </c>
      <c r="R39" s="5" t="s">
        <v>16</v>
      </c>
      <c r="S39" s="5" t="s">
        <v>17</v>
      </c>
      <c r="T39" s="4"/>
      <c r="U39" s="4"/>
      <c r="V39" s="4"/>
      <c r="W39" s="4"/>
      <c r="X39" s="4"/>
      <c r="Y39" s="4"/>
      <c r="Z39" s="4"/>
    </row>
    <row r="40">
      <c r="A40" s="21">
        <v>34.0</v>
      </c>
      <c r="B40" s="9" t="s">
        <v>135</v>
      </c>
      <c r="C40" s="10" t="s">
        <v>136</v>
      </c>
      <c r="D40" s="10">
        <v>6.0</v>
      </c>
      <c r="E40" s="10" t="s">
        <v>137</v>
      </c>
      <c r="F40" s="10">
        <v>40.19</v>
      </c>
      <c r="G40" s="1"/>
      <c r="H40" s="9" t="s">
        <v>135</v>
      </c>
      <c r="I40" s="14"/>
      <c r="J40" s="14"/>
      <c r="K40" s="14"/>
      <c r="L40" s="14"/>
      <c r="M40" s="9">
        <v>50.0</v>
      </c>
      <c r="N40" s="8"/>
      <c r="O40" s="11" t="s">
        <v>135</v>
      </c>
      <c r="P40" s="11" t="s">
        <v>138</v>
      </c>
      <c r="Q40" s="11" t="s">
        <v>139</v>
      </c>
      <c r="R40" s="11" t="s">
        <v>140</v>
      </c>
      <c r="S40" s="11">
        <v>50.0</v>
      </c>
      <c r="T40" s="4"/>
      <c r="U40" s="4"/>
      <c r="V40" s="4"/>
      <c r="W40" s="4"/>
      <c r="X40" s="4"/>
      <c r="Y40" s="4"/>
      <c r="Z40" s="4"/>
    </row>
    <row r="41">
      <c r="A41" s="8">
        <v>35.0</v>
      </c>
      <c r="B41" s="9" t="s">
        <v>135</v>
      </c>
      <c r="C41" s="10" t="s">
        <v>141</v>
      </c>
      <c r="D41" s="10">
        <v>6.0</v>
      </c>
      <c r="E41" s="10" t="s">
        <v>137</v>
      </c>
      <c r="F41" s="10">
        <v>40.33</v>
      </c>
      <c r="G41" s="1"/>
      <c r="H41" s="9" t="s">
        <v>135</v>
      </c>
      <c r="I41" s="14"/>
      <c r="J41" s="14"/>
      <c r="K41" s="14"/>
      <c r="L41" s="14"/>
      <c r="M41" s="9">
        <v>44.0</v>
      </c>
      <c r="N41" s="8"/>
      <c r="O41" s="11" t="s">
        <v>135</v>
      </c>
      <c r="P41" s="11" t="s">
        <v>138</v>
      </c>
      <c r="Q41" s="11" t="s">
        <v>142</v>
      </c>
      <c r="R41" s="11" t="s">
        <v>143</v>
      </c>
      <c r="S41" s="11">
        <v>44.0</v>
      </c>
      <c r="T41" s="4"/>
      <c r="U41" s="4"/>
      <c r="V41" s="4"/>
      <c r="W41" s="4"/>
      <c r="X41" s="4"/>
      <c r="Y41" s="4"/>
      <c r="Z41" s="4"/>
    </row>
    <row r="42">
      <c r="A42" s="8">
        <v>36.0</v>
      </c>
      <c r="B42" s="9" t="s">
        <v>144</v>
      </c>
      <c r="C42" s="10" t="s">
        <v>145</v>
      </c>
      <c r="D42" s="10">
        <v>4.0</v>
      </c>
      <c r="E42" s="10" t="s">
        <v>137</v>
      </c>
      <c r="F42" s="10">
        <v>22.4</v>
      </c>
      <c r="G42" s="1"/>
      <c r="H42" s="9" t="s">
        <v>144</v>
      </c>
      <c r="I42" s="9">
        <v>23.377482</v>
      </c>
      <c r="J42" s="9">
        <v>85.312652</v>
      </c>
      <c r="K42" s="9">
        <v>25.23784</v>
      </c>
      <c r="L42" s="9">
        <v>87.605024</v>
      </c>
      <c r="M42" s="9">
        <v>23.0</v>
      </c>
      <c r="N42" s="8"/>
      <c r="O42" s="11" t="s">
        <v>144</v>
      </c>
      <c r="P42" s="11" t="s">
        <v>146</v>
      </c>
      <c r="Q42" s="11" t="s">
        <v>147</v>
      </c>
      <c r="R42" s="11" t="s">
        <v>148</v>
      </c>
      <c r="S42" s="11">
        <v>23.0</v>
      </c>
      <c r="T42" s="4"/>
      <c r="U42" s="4"/>
      <c r="V42" s="4"/>
      <c r="W42" s="4"/>
      <c r="X42" s="4"/>
      <c r="Y42" s="4"/>
      <c r="Z42" s="4"/>
    </row>
    <row r="43">
      <c r="A43" s="8">
        <v>37.0</v>
      </c>
      <c r="B43" s="9" t="s">
        <v>67</v>
      </c>
      <c r="C43" s="10" t="s">
        <v>149</v>
      </c>
      <c r="D43" s="10">
        <v>4.0</v>
      </c>
      <c r="E43" s="10" t="s">
        <v>137</v>
      </c>
      <c r="F43" s="10">
        <v>71.61</v>
      </c>
      <c r="G43" s="1"/>
      <c r="H43" s="9" t="s">
        <v>67</v>
      </c>
      <c r="I43" s="9">
        <v>22.649467</v>
      </c>
      <c r="J43" s="9">
        <v>86.414548</v>
      </c>
      <c r="K43" s="14"/>
      <c r="L43" s="14"/>
      <c r="M43" s="9">
        <v>73.0</v>
      </c>
      <c r="N43" s="8"/>
      <c r="O43" s="11" t="s">
        <v>67</v>
      </c>
      <c r="P43" s="11" t="s">
        <v>150</v>
      </c>
      <c r="Q43" s="11" t="s">
        <v>151</v>
      </c>
      <c r="R43" s="11" t="s">
        <v>152</v>
      </c>
      <c r="S43" s="11">
        <v>73.0</v>
      </c>
      <c r="T43" s="4"/>
      <c r="U43" s="4"/>
      <c r="V43" s="4"/>
      <c r="W43" s="4"/>
      <c r="X43" s="4"/>
      <c r="Y43" s="4"/>
      <c r="Z43" s="4"/>
    </row>
    <row r="44">
      <c r="A44" s="8">
        <v>38.0</v>
      </c>
      <c r="B44" s="9" t="s">
        <v>67</v>
      </c>
      <c r="C44" s="10" t="s">
        <v>153</v>
      </c>
      <c r="D44" s="10">
        <v>4.0</v>
      </c>
      <c r="E44" s="10" t="s">
        <v>137</v>
      </c>
      <c r="F44" s="10">
        <v>77.3</v>
      </c>
      <c r="G44" s="1"/>
      <c r="H44" s="9" t="s">
        <v>67</v>
      </c>
      <c r="I44" s="9">
        <v>23.37005</v>
      </c>
      <c r="J44" s="9">
        <v>85.325039</v>
      </c>
      <c r="K44" s="9">
        <v>22.962123</v>
      </c>
      <c r="L44" s="9">
        <v>85.507914</v>
      </c>
      <c r="M44" s="9">
        <v>77.0</v>
      </c>
      <c r="N44" s="8"/>
      <c r="O44" s="11" t="s">
        <v>67</v>
      </c>
      <c r="P44" s="11" t="s">
        <v>146</v>
      </c>
      <c r="Q44" s="11" t="s">
        <v>154</v>
      </c>
      <c r="R44" s="11" t="s">
        <v>155</v>
      </c>
      <c r="S44" s="11">
        <v>77.0</v>
      </c>
      <c r="T44" s="4"/>
      <c r="U44" s="4"/>
      <c r="V44" s="4"/>
      <c r="W44" s="4"/>
      <c r="X44" s="4"/>
      <c r="Y44" s="4"/>
      <c r="Z44" s="4"/>
    </row>
    <row r="45">
      <c r="A45" s="8">
        <v>39.0</v>
      </c>
      <c r="B45" s="9" t="s">
        <v>67</v>
      </c>
      <c r="C45" s="10" t="s">
        <v>156</v>
      </c>
      <c r="D45" s="10">
        <v>4.0</v>
      </c>
      <c r="E45" s="10" t="s">
        <v>137</v>
      </c>
      <c r="F45" s="10">
        <v>16.05</v>
      </c>
      <c r="G45" s="1"/>
      <c r="H45" s="9" t="s">
        <v>67</v>
      </c>
      <c r="I45" s="9">
        <v>23.37005</v>
      </c>
      <c r="J45" s="9">
        <v>85.325039</v>
      </c>
      <c r="K45" s="9">
        <v>23.663075</v>
      </c>
      <c r="L45" s="9">
        <v>86.122148</v>
      </c>
      <c r="M45" s="9">
        <v>20.0</v>
      </c>
      <c r="N45" s="8"/>
      <c r="O45" s="11" t="s">
        <v>67</v>
      </c>
      <c r="P45" s="11" t="s">
        <v>157</v>
      </c>
      <c r="Q45" s="11" t="s">
        <v>158</v>
      </c>
      <c r="R45" s="11" t="s">
        <v>159</v>
      </c>
      <c r="S45" s="11">
        <v>20.0</v>
      </c>
      <c r="T45" s="4"/>
      <c r="U45" s="4"/>
      <c r="V45" s="4"/>
      <c r="W45" s="4"/>
      <c r="X45" s="4"/>
      <c r="Y45" s="4"/>
      <c r="Z45" s="4"/>
    </row>
    <row r="46">
      <c r="A46" s="8">
        <v>40.0</v>
      </c>
      <c r="B46" s="9" t="s">
        <v>67</v>
      </c>
      <c r="C46" s="10" t="s">
        <v>160</v>
      </c>
      <c r="D46" s="10">
        <v>4.0</v>
      </c>
      <c r="E46" s="10" t="s">
        <v>137</v>
      </c>
      <c r="F46" s="10">
        <v>44.22</v>
      </c>
      <c r="G46" s="1"/>
      <c r="H46" s="9" t="s">
        <v>67</v>
      </c>
      <c r="I46" s="9">
        <v>23.37005</v>
      </c>
      <c r="J46" s="9">
        <v>85.325039</v>
      </c>
      <c r="K46" s="9">
        <v>23.798128</v>
      </c>
      <c r="L46" s="9">
        <v>86.282731</v>
      </c>
      <c r="M46" s="9">
        <v>44.0</v>
      </c>
      <c r="N46" s="8"/>
      <c r="O46" s="11" t="s">
        <v>67</v>
      </c>
      <c r="P46" s="11" t="s">
        <v>161</v>
      </c>
      <c r="Q46" s="11" t="s">
        <v>159</v>
      </c>
      <c r="R46" s="11" t="s">
        <v>162</v>
      </c>
      <c r="S46" s="11">
        <v>44.0</v>
      </c>
      <c r="T46" s="4"/>
      <c r="U46" s="4"/>
      <c r="V46" s="4"/>
      <c r="W46" s="4"/>
      <c r="X46" s="4"/>
      <c r="Y46" s="4"/>
      <c r="Z46" s="4"/>
    </row>
    <row r="47">
      <c r="A47" s="8">
        <v>41.0</v>
      </c>
      <c r="B47" s="9" t="s">
        <v>163</v>
      </c>
      <c r="C47" s="10" t="s">
        <v>164</v>
      </c>
      <c r="D47" s="10">
        <v>4.0</v>
      </c>
      <c r="E47" s="10" t="s">
        <v>137</v>
      </c>
      <c r="F47" s="10">
        <v>21.0</v>
      </c>
      <c r="G47" s="1"/>
      <c r="H47" s="9" t="s">
        <v>163</v>
      </c>
      <c r="I47" s="14"/>
      <c r="J47" s="14"/>
      <c r="K47" s="9">
        <v>23.547889</v>
      </c>
      <c r="L47" s="9">
        <v>84.756259</v>
      </c>
      <c r="M47" s="9">
        <v>23.0</v>
      </c>
      <c r="N47" s="8"/>
      <c r="O47" s="11" t="s">
        <v>163</v>
      </c>
      <c r="P47" s="11" t="s">
        <v>165</v>
      </c>
      <c r="Q47" s="11" t="s">
        <v>166</v>
      </c>
      <c r="R47" s="11" t="s">
        <v>167</v>
      </c>
      <c r="S47" s="11">
        <v>23.0</v>
      </c>
      <c r="T47" s="4"/>
      <c r="U47" s="4"/>
      <c r="V47" s="4"/>
      <c r="W47" s="4"/>
      <c r="X47" s="4"/>
      <c r="Y47" s="4"/>
      <c r="Z47" s="4"/>
    </row>
    <row r="48">
      <c r="A48" s="8">
        <v>42.0</v>
      </c>
      <c r="B48" s="9" t="s">
        <v>163</v>
      </c>
      <c r="C48" s="10" t="s">
        <v>168</v>
      </c>
      <c r="D48" s="10">
        <v>4.0</v>
      </c>
      <c r="E48" s="10" t="s">
        <v>137</v>
      </c>
      <c r="F48" s="10">
        <v>34.0</v>
      </c>
      <c r="G48" s="1"/>
      <c r="H48" s="9" t="s">
        <v>163</v>
      </c>
      <c r="I48" s="9">
        <v>23.378912</v>
      </c>
      <c r="J48" s="9">
        <v>85.325192</v>
      </c>
      <c r="K48" s="14"/>
      <c r="L48" s="14"/>
      <c r="M48" s="9">
        <v>23.0</v>
      </c>
      <c r="N48" s="8"/>
      <c r="O48" s="11" t="s">
        <v>163</v>
      </c>
      <c r="P48" s="11" t="s">
        <v>165</v>
      </c>
      <c r="Q48" s="11" t="s">
        <v>167</v>
      </c>
      <c r="R48" s="11" t="s">
        <v>169</v>
      </c>
      <c r="S48" s="11">
        <v>23.0</v>
      </c>
      <c r="T48" s="4"/>
      <c r="U48" s="4"/>
      <c r="V48" s="4"/>
      <c r="W48" s="4"/>
      <c r="X48" s="4"/>
      <c r="Y48" s="4"/>
      <c r="Z48" s="4"/>
    </row>
    <row r="49">
      <c r="A49" s="8">
        <v>43.0</v>
      </c>
      <c r="B49" s="9" t="s">
        <v>67</v>
      </c>
      <c r="C49" s="10" t="s">
        <v>170</v>
      </c>
      <c r="D49" s="10">
        <v>4.0</v>
      </c>
      <c r="E49" s="10" t="s">
        <v>137</v>
      </c>
      <c r="F49" s="10">
        <v>41.28</v>
      </c>
      <c r="G49" s="1"/>
      <c r="H49" s="9" t="s">
        <v>67</v>
      </c>
      <c r="I49" s="9">
        <v>24.264703</v>
      </c>
      <c r="J49" s="9">
        <v>85.474672</v>
      </c>
      <c r="K49" s="9">
        <v>23.992435</v>
      </c>
      <c r="L49" s="9">
        <v>85.361625</v>
      </c>
      <c r="M49" s="9">
        <v>37.4</v>
      </c>
      <c r="N49" s="8"/>
      <c r="O49" s="11" t="s">
        <v>67</v>
      </c>
      <c r="P49" s="11" t="s">
        <v>171</v>
      </c>
      <c r="Q49" s="11" t="s">
        <v>172</v>
      </c>
      <c r="R49" s="11" t="s">
        <v>173</v>
      </c>
      <c r="S49" s="11">
        <v>37.4</v>
      </c>
      <c r="T49" s="4"/>
      <c r="U49" s="4"/>
      <c r="V49" s="4"/>
      <c r="W49" s="4"/>
      <c r="X49" s="4"/>
      <c r="Y49" s="4"/>
      <c r="Z49" s="4"/>
    </row>
    <row r="50">
      <c r="A50" s="8">
        <v>44.0</v>
      </c>
      <c r="B50" s="9" t="s">
        <v>67</v>
      </c>
      <c r="C50" s="10" t="s">
        <v>174</v>
      </c>
      <c r="D50" s="10">
        <v>4.0</v>
      </c>
      <c r="E50" s="10" t="s">
        <v>137</v>
      </c>
      <c r="F50" s="10">
        <v>73.5</v>
      </c>
      <c r="G50" s="1"/>
      <c r="H50" s="9" t="s">
        <v>67</v>
      </c>
      <c r="I50" s="9">
        <v>24.086696</v>
      </c>
      <c r="J50" s="9">
        <v>85.491223</v>
      </c>
      <c r="K50" s="14"/>
      <c r="L50" s="14"/>
      <c r="M50" s="9">
        <v>81.0</v>
      </c>
      <c r="N50" s="8"/>
      <c r="O50" s="11" t="s">
        <v>67</v>
      </c>
      <c r="P50" s="11" t="s">
        <v>171</v>
      </c>
      <c r="Q50" s="11" t="s">
        <v>175</v>
      </c>
      <c r="R50" s="11" t="s">
        <v>176</v>
      </c>
      <c r="S50" s="11">
        <v>81.0</v>
      </c>
      <c r="T50" s="4"/>
      <c r="U50" s="4"/>
      <c r="V50" s="4"/>
      <c r="W50" s="4"/>
      <c r="X50" s="4"/>
      <c r="Y50" s="4"/>
      <c r="Z50" s="4"/>
    </row>
    <row r="51">
      <c r="A51" s="8">
        <v>45.0</v>
      </c>
      <c r="B51" s="9" t="s">
        <v>163</v>
      </c>
      <c r="C51" s="10" t="s">
        <v>177</v>
      </c>
      <c r="D51" s="10">
        <v>4.0</v>
      </c>
      <c r="E51" s="10" t="s">
        <v>137</v>
      </c>
      <c r="F51" s="10">
        <v>22.73</v>
      </c>
      <c r="G51" s="1"/>
      <c r="H51" s="9" t="s">
        <v>163</v>
      </c>
      <c r="I51" s="14"/>
      <c r="J51" s="14"/>
      <c r="K51" s="9">
        <v>24.053577</v>
      </c>
      <c r="L51" s="9">
        <v>83.652682</v>
      </c>
      <c r="M51" s="9">
        <v>18.0</v>
      </c>
      <c r="N51" s="8"/>
      <c r="O51" s="11" t="s">
        <v>163</v>
      </c>
      <c r="P51" s="11" t="s">
        <v>165</v>
      </c>
      <c r="Q51" s="11" t="s">
        <v>178</v>
      </c>
      <c r="R51" s="22" t="s">
        <v>179</v>
      </c>
      <c r="S51" s="11">
        <v>18.0</v>
      </c>
      <c r="T51" s="4"/>
      <c r="U51" s="4"/>
      <c r="V51" s="4"/>
      <c r="W51" s="4"/>
      <c r="X51" s="4"/>
      <c r="Y51" s="4"/>
      <c r="Z51" s="4"/>
    </row>
    <row r="52">
      <c r="A52" s="8">
        <v>46.0</v>
      </c>
      <c r="B52" s="9" t="s">
        <v>180</v>
      </c>
      <c r="C52" s="10" t="s">
        <v>181</v>
      </c>
      <c r="D52" s="10">
        <v>4.0</v>
      </c>
      <c r="E52" s="10" t="s">
        <v>137</v>
      </c>
      <c r="F52" s="10">
        <v>56.89</v>
      </c>
      <c r="G52" s="1"/>
      <c r="H52" s="9" t="s">
        <v>180</v>
      </c>
      <c r="I52" s="14"/>
      <c r="J52" s="14"/>
      <c r="K52" s="14"/>
      <c r="L52" s="14"/>
      <c r="M52" s="9">
        <v>57.0</v>
      </c>
      <c r="N52" s="8"/>
      <c r="O52" s="11" t="s">
        <v>180</v>
      </c>
      <c r="P52" s="11" t="s">
        <v>182</v>
      </c>
      <c r="Q52" s="11" t="s">
        <v>183</v>
      </c>
      <c r="R52" s="11" t="s">
        <v>184</v>
      </c>
      <c r="S52" s="11">
        <v>57.0</v>
      </c>
      <c r="T52" s="4"/>
      <c r="U52" s="4"/>
      <c r="V52" s="4"/>
      <c r="W52" s="4"/>
      <c r="X52" s="4"/>
      <c r="Y52" s="4"/>
      <c r="Z52" s="4"/>
    </row>
    <row r="53">
      <c r="A53" s="8">
        <v>47.0</v>
      </c>
      <c r="B53" s="9" t="s">
        <v>67</v>
      </c>
      <c r="C53" s="10" t="s">
        <v>185</v>
      </c>
      <c r="D53" s="10">
        <v>4.0</v>
      </c>
      <c r="E53" s="10" t="s">
        <v>137</v>
      </c>
      <c r="F53" s="10">
        <v>26.27</v>
      </c>
      <c r="G53" s="1"/>
      <c r="H53" s="9" t="s">
        <v>67</v>
      </c>
      <c r="I53" s="9">
        <v>23.37005</v>
      </c>
      <c r="J53" s="9">
        <v>85.325039</v>
      </c>
      <c r="K53" s="14"/>
      <c r="L53" s="14"/>
      <c r="M53" s="9">
        <v>26.0</v>
      </c>
      <c r="N53" s="8"/>
      <c r="O53" s="11" t="s">
        <v>67</v>
      </c>
      <c r="P53" s="11" t="s">
        <v>165</v>
      </c>
      <c r="Q53" s="11" t="s">
        <v>186</v>
      </c>
      <c r="R53" s="11" t="s">
        <v>187</v>
      </c>
      <c r="S53" s="11">
        <v>26.0</v>
      </c>
      <c r="T53" s="4"/>
      <c r="U53" s="4"/>
      <c r="V53" s="4"/>
      <c r="W53" s="4"/>
      <c r="X53" s="4"/>
      <c r="Y53" s="4"/>
      <c r="Z53" s="4"/>
    </row>
    <row r="54">
      <c r="A54" s="8">
        <v>48.0</v>
      </c>
      <c r="B54" s="9" t="s">
        <v>188</v>
      </c>
      <c r="C54" s="10" t="s">
        <v>189</v>
      </c>
      <c r="D54" s="10">
        <v>4.0</v>
      </c>
      <c r="E54" s="10" t="s">
        <v>137</v>
      </c>
      <c r="F54" s="10">
        <v>33.765</v>
      </c>
      <c r="G54" s="1"/>
      <c r="H54" s="9" t="s">
        <v>188</v>
      </c>
      <c r="I54" s="9">
        <v>24.487511</v>
      </c>
      <c r="J54" s="9">
        <v>84.275854</v>
      </c>
      <c r="K54" s="14"/>
      <c r="L54" s="14"/>
      <c r="M54" s="9">
        <v>51.0</v>
      </c>
      <c r="N54" s="8"/>
      <c r="O54" s="11" t="s">
        <v>188</v>
      </c>
      <c r="P54" s="11" t="s">
        <v>190</v>
      </c>
      <c r="Q54" s="11" t="s">
        <v>191</v>
      </c>
      <c r="R54" s="11" t="s">
        <v>192</v>
      </c>
      <c r="S54" s="11">
        <v>51.0</v>
      </c>
      <c r="T54" s="4"/>
      <c r="U54" s="4"/>
      <c r="V54" s="4"/>
      <c r="W54" s="4"/>
      <c r="X54" s="4"/>
      <c r="Y54" s="4"/>
      <c r="Z54" s="4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43">
        <v>25.865</v>
      </c>
      <c r="T55" s="4"/>
      <c r="U55" s="4"/>
      <c r="V55" s="4"/>
      <c r="W55" s="4"/>
      <c r="X55" s="4"/>
      <c r="Y55" s="4"/>
      <c r="Z55" s="4"/>
    </row>
    <row r="56">
      <c r="A56" s="1" t="s">
        <v>3</v>
      </c>
      <c r="B56" s="3" t="s">
        <v>4</v>
      </c>
      <c r="C56" s="6" t="s">
        <v>5</v>
      </c>
      <c r="D56" s="6" t="s">
        <v>6</v>
      </c>
      <c r="E56" s="6" t="s">
        <v>7</v>
      </c>
      <c r="F56" s="6" t="s">
        <v>8</v>
      </c>
      <c r="G56" s="1"/>
      <c r="H56" s="3" t="s">
        <v>4</v>
      </c>
      <c r="I56" s="3" t="s">
        <v>9</v>
      </c>
      <c r="J56" s="3" t="s">
        <v>10</v>
      </c>
      <c r="K56" s="3" t="s">
        <v>11</v>
      </c>
      <c r="L56" s="3" t="s">
        <v>12</v>
      </c>
      <c r="M56" s="7" t="s">
        <v>13</v>
      </c>
      <c r="N56" s="4"/>
      <c r="O56" s="5" t="s">
        <v>4</v>
      </c>
      <c r="P56" s="5" t="s">
        <v>14</v>
      </c>
      <c r="Q56" s="5" t="s">
        <v>15</v>
      </c>
      <c r="R56" s="5" t="s">
        <v>16</v>
      </c>
      <c r="S56" s="5" t="s">
        <v>17</v>
      </c>
      <c r="T56" s="4"/>
      <c r="U56" s="4"/>
      <c r="V56" s="4"/>
      <c r="W56" s="4"/>
      <c r="X56" s="4"/>
      <c r="Y56" s="4"/>
      <c r="Z56" s="4"/>
    </row>
    <row r="57">
      <c r="A57" s="8">
        <v>49.0</v>
      </c>
      <c r="B57" s="9" t="s">
        <v>193</v>
      </c>
      <c r="C57" s="10" t="s">
        <v>194</v>
      </c>
      <c r="D57" s="10">
        <v>4.0</v>
      </c>
      <c r="E57" s="10" t="s">
        <v>195</v>
      </c>
      <c r="F57" s="10">
        <v>61.8</v>
      </c>
      <c r="G57" s="15"/>
      <c r="H57" s="9" t="s">
        <v>193</v>
      </c>
      <c r="I57" s="14"/>
      <c r="J57" s="14"/>
      <c r="K57" s="9"/>
      <c r="L57" s="14"/>
      <c r="M57" s="9">
        <v>76.0</v>
      </c>
      <c r="N57" s="8"/>
      <c r="O57" s="11" t="s">
        <v>193</v>
      </c>
      <c r="P57" s="11" t="s">
        <v>196</v>
      </c>
      <c r="Q57" s="11" t="s">
        <v>197</v>
      </c>
      <c r="R57" s="11" t="s">
        <v>198</v>
      </c>
      <c r="S57" s="11">
        <v>76.0</v>
      </c>
      <c r="T57" s="4"/>
      <c r="U57" s="4"/>
      <c r="V57" s="4"/>
      <c r="W57" s="4"/>
      <c r="X57" s="4"/>
      <c r="Y57" s="4"/>
      <c r="Z57" s="4"/>
    </row>
    <row r="58">
      <c r="A58" s="8">
        <v>50.0</v>
      </c>
      <c r="B58" s="9" t="s">
        <v>193</v>
      </c>
      <c r="C58" s="10" t="s">
        <v>199</v>
      </c>
      <c r="D58" s="10">
        <v>2.0</v>
      </c>
      <c r="E58" s="10" t="s">
        <v>195</v>
      </c>
      <c r="F58" s="10">
        <v>48.76</v>
      </c>
      <c r="G58" s="15"/>
      <c r="H58" s="9" t="s">
        <v>193</v>
      </c>
      <c r="I58" s="9">
        <v>25.575993</v>
      </c>
      <c r="J58" s="9">
        <v>91.882787</v>
      </c>
      <c r="K58" s="14"/>
      <c r="L58" s="14"/>
      <c r="M58" s="9">
        <v>48.6</v>
      </c>
      <c r="N58" s="8"/>
      <c r="O58" s="11" t="s">
        <v>193</v>
      </c>
      <c r="P58" s="11" t="s">
        <v>196</v>
      </c>
      <c r="Q58" s="11" t="s">
        <v>200</v>
      </c>
      <c r="R58" s="11" t="s">
        <v>201</v>
      </c>
      <c r="S58" s="11">
        <v>48.6</v>
      </c>
      <c r="T58" s="4"/>
      <c r="U58" s="4"/>
      <c r="V58" s="4"/>
      <c r="W58" s="4"/>
      <c r="X58" s="4"/>
      <c r="Y58" s="4"/>
      <c r="Z58" s="4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43">
        <v>14.04</v>
      </c>
      <c r="T59" s="4"/>
      <c r="U59" s="4"/>
      <c r="V59" s="4"/>
      <c r="W59" s="4"/>
      <c r="X59" s="4"/>
      <c r="Y59" s="4"/>
      <c r="Z59" s="4"/>
    </row>
    <row r="60">
      <c r="A60" s="1" t="s">
        <v>3</v>
      </c>
      <c r="B60" s="3" t="s">
        <v>4</v>
      </c>
      <c r="C60" s="6" t="s">
        <v>5</v>
      </c>
      <c r="D60" s="6" t="s">
        <v>6</v>
      </c>
      <c r="E60" s="6" t="s">
        <v>7</v>
      </c>
      <c r="F60" s="6" t="s">
        <v>8</v>
      </c>
      <c r="G60" s="1"/>
      <c r="H60" s="3" t="s">
        <v>4</v>
      </c>
      <c r="I60" s="3" t="s">
        <v>9</v>
      </c>
      <c r="J60" s="3" t="s">
        <v>10</v>
      </c>
      <c r="K60" s="3" t="s">
        <v>11</v>
      </c>
      <c r="L60" s="3" t="s">
        <v>12</v>
      </c>
      <c r="M60" s="7" t="s">
        <v>13</v>
      </c>
      <c r="N60" s="4"/>
      <c r="O60" s="5" t="s">
        <v>4</v>
      </c>
      <c r="P60" s="5" t="s">
        <v>14</v>
      </c>
      <c r="Q60" s="5" t="s">
        <v>15</v>
      </c>
      <c r="R60" s="5" t="s">
        <v>16</v>
      </c>
      <c r="S60" s="5" t="s">
        <v>17</v>
      </c>
      <c r="T60" s="4"/>
      <c r="U60" s="4"/>
      <c r="V60" s="4"/>
      <c r="W60" s="4"/>
      <c r="X60" s="4"/>
      <c r="Y60" s="4"/>
      <c r="Z60" s="4"/>
    </row>
    <row r="61">
      <c r="A61" s="23">
        <v>51.0</v>
      </c>
      <c r="B61" s="24"/>
      <c r="C61" s="25" t="s">
        <v>202</v>
      </c>
      <c r="D61" s="26">
        <v>6.0</v>
      </c>
      <c r="E61" s="26" t="s">
        <v>203</v>
      </c>
      <c r="F61" s="26">
        <v>74.5</v>
      </c>
      <c r="G61" s="1"/>
      <c r="H61" s="24"/>
      <c r="I61" s="27">
        <v>20.739617</v>
      </c>
      <c r="J61" s="27">
        <v>86.045493</v>
      </c>
      <c r="K61" s="27">
        <v>20.985405</v>
      </c>
      <c r="L61" s="27">
        <v>86.593423</v>
      </c>
      <c r="M61" s="27"/>
      <c r="N61" s="23"/>
      <c r="O61" s="28"/>
      <c r="P61" s="29" t="s">
        <v>204</v>
      </c>
      <c r="Q61" s="30" t="s">
        <v>205</v>
      </c>
      <c r="R61" s="31" t="s">
        <v>206</v>
      </c>
      <c r="S61" s="30">
        <v>68.4</v>
      </c>
      <c r="T61" s="4"/>
      <c r="U61" s="4"/>
      <c r="V61" s="4"/>
      <c r="W61" s="4"/>
      <c r="X61" s="4"/>
      <c r="Y61" s="4"/>
      <c r="Z61" s="4"/>
    </row>
    <row r="62">
      <c r="A62" s="23">
        <v>52.0</v>
      </c>
      <c r="B62" s="24"/>
      <c r="C62" s="25" t="s">
        <v>207</v>
      </c>
      <c r="D62" s="26">
        <v>4.0</v>
      </c>
      <c r="E62" s="26" t="s">
        <v>203</v>
      </c>
      <c r="F62" s="26">
        <v>88.0</v>
      </c>
      <c r="G62" s="1"/>
      <c r="H62" s="24"/>
      <c r="I62" s="27">
        <v>18.775624</v>
      </c>
      <c r="J62" s="27">
        <v>84.094384</v>
      </c>
      <c r="K62" s="27">
        <v>21.557061</v>
      </c>
      <c r="L62" s="27">
        <v>84.152851</v>
      </c>
      <c r="M62" s="27"/>
      <c r="N62" s="23"/>
      <c r="O62" s="28"/>
      <c r="P62" s="29" t="s">
        <v>208</v>
      </c>
      <c r="Q62" s="30" t="s">
        <v>209</v>
      </c>
      <c r="R62" s="31" t="s">
        <v>210</v>
      </c>
      <c r="S62" s="30">
        <v>85.0</v>
      </c>
      <c r="T62" s="4"/>
      <c r="U62" s="4"/>
      <c r="V62" s="4"/>
      <c r="W62" s="4"/>
      <c r="X62" s="4"/>
      <c r="Y62" s="4"/>
      <c r="Z62" s="4"/>
    </row>
    <row r="63">
      <c r="A63" s="23">
        <v>53.0</v>
      </c>
      <c r="B63" s="24"/>
      <c r="C63" s="25" t="s">
        <v>211</v>
      </c>
      <c r="D63" s="26">
        <v>4.0</v>
      </c>
      <c r="E63" s="26" t="s">
        <v>203</v>
      </c>
      <c r="F63" s="26">
        <v>78.32</v>
      </c>
      <c r="G63" s="1"/>
      <c r="H63" s="24"/>
      <c r="I63" s="24"/>
      <c r="J63" s="24"/>
      <c r="K63" s="24"/>
      <c r="L63" s="24"/>
      <c r="M63" s="27"/>
      <c r="N63" s="23"/>
      <c r="O63" s="28"/>
      <c r="P63" s="29" t="s">
        <v>212</v>
      </c>
      <c r="Q63" s="30" t="s">
        <v>213</v>
      </c>
      <c r="R63" s="31" t="s">
        <v>214</v>
      </c>
      <c r="S63" s="30">
        <v>81.0</v>
      </c>
      <c r="T63" s="4"/>
      <c r="U63" s="4"/>
      <c r="V63" s="4"/>
      <c r="W63" s="4"/>
      <c r="X63" s="4"/>
      <c r="Y63" s="4"/>
      <c r="Z63" s="4"/>
    </row>
    <row r="64">
      <c r="A64" s="23">
        <v>54.0</v>
      </c>
      <c r="B64" s="24"/>
      <c r="C64" s="25" t="s">
        <v>215</v>
      </c>
      <c r="D64" s="26">
        <v>4.0</v>
      </c>
      <c r="E64" s="26" t="s">
        <v>203</v>
      </c>
      <c r="F64" s="26">
        <v>104.17</v>
      </c>
      <c r="G64" s="1"/>
      <c r="H64" s="24"/>
      <c r="I64" s="24"/>
      <c r="J64" s="24"/>
      <c r="K64" s="24"/>
      <c r="L64" s="24"/>
      <c r="M64" s="27"/>
      <c r="N64" s="23"/>
      <c r="O64" s="28"/>
      <c r="P64" s="29" t="s">
        <v>171</v>
      </c>
      <c r="Q64" s="30" t="s">
        <v>216</v>
      </c>
      <c r="R64" s="31" t="s">
        <v>217</v>
      </c>
      <c r="S64" s="30">
        <v>146.0</v>
      </c>
      <c r="T64" s="4"/>
      <c r="U64" s="4"/>
      <c r="V64" s="4"/>
      <c r="W64" s="4"/>
      <c r="X64" s="4"/>
      <c r="Y64" s="4"/>
      <c r="Z64" s="4"/>
    </row>
    <row r="65">
      <c r="A65" s="23">
        <v>55.0</v>
      </c>
      <c r="B65" s="27" t="s">
        <v>196</v>
      </c>
      <c r="C65" s="26" t="s">
        <v>218</v>
      </c>
      <c r="D65" s="26">
        <v>4.0</v>
      </c>
      <c r="E65" s="26" t="s">
        <v>203</v>
      </c>
      <c r="F65" s="26">
        <v>111.61</v>
      </c>
      <c r="G65" s="1"/>
      <c r="H65" s="27" t="s">
        <v>196</v>
      </c>
      <c r="I65" s="24"/>
      <c r="J65" s="24"/>
      <c r="K65" s="24"/>
      <c r="L65" s="24"/>
      <c r="M65" s="27"/>
      <c r="N65" s="23"/>
      <c r="O65" s="30" t="s">
        <v>196</v>
      </c>
      <c r="P65" s="29" t="s">
        <v>219</v>
      </c>
      <c r="Q65" s="30" t="s">
        <v>220</v>
      </c>
      <c r="R65" s="31" t="s">
        <v>216</v>
      </c>
      <c r="S65" s="30">
        <v>185.0</v>
      </c>
      <c r="T65" s="4"/>
      <c r="U65" s="4"/>
      <c r="V65" s="4"/>
      <c r="W65" s="4"/>
      <c r="X65" s="4"/>
      <c r="Y65" s="4"/>
      <c r="Z65" s="4"/>
    </row>
    <row r="66">
      <c r="A66" s="23">
        <v>56.0</v>
      </c>
      <c r="B66" s="27" t="s">
        <v>221</v>
      </c>
      <c r="C66" s="26" t="s">
        <v>222</v>
      </c>
      <c r="D66" s="26">
        <v>4.0</v>
      </c>
      <c r="E66" s="26" t="s">
        <v>203</v>
      </c>
      <c r="F66" s="26">
        <v>81.257</v>
      </c>
      <c r="G66" s="1"/>
      <c r="H66" s="27" t="s">
        <v>221</v>
      </c>
      <c r="I66" s="27">
        <v>21.500642</v>
      </c>
      <c r="J66" s="27">
        <v>86.919884</v>
      </c>
      <c r="K66" s="27">
        <v>22.24112</v>
      </c>
      <c r="L66" s="27">
        <v>86.572976</v>
      </c>
      <c r="M66" s="27"/>
      <c r="N66" s="23"/>
      <c r="O66" s="30" t="s">
        <v>221</v>
      </c>
      <c r="P66" s="29" t="s">
        <v>223</v>
      </c>
      <c r="Q66" s="30" t="s">
        <v>224</v>
      </c>
      <c r="R66" s="31" t="s">
        <v>225</v>
      </c>
      <c r="S66" s="30">
        <v>89.5</v>
      </c>
      <c r="T66" s="4"/>
      <c r="U66" s="4"/>
      <c r="V66" s="4"/>
      <c r="W66" s="4"/>
      <c r="X66" s="4"/>
      <c r="Y66" s="4"/>
      <c r="Z66" s="4"/>
    </row>
    <row r="67">
      <c r="A67" s="23">
        <v>57.0</v>
      </c>
      <c r="B67" s="24"/>
      <c r="C67" s="25" t="s">
        <v>226</v>
      </c>
      <c r="D67" s="26">
        <v>4.0</v>
      </c>
      <c r="E67" s="26" t="s">
        <v>203</v>
      </c>
      <c r="F67" s="26">
        <v>10.9</v>
      </c>
      <c r="G67" s="1"/>
      <c r="H67" s="24"/>
      <c r="I67" s="24"/>
      <c r="J67" s="24"/>
      <c r="K67" s="27">
        <v>19.807608</v>
      </c>
      <c r="L67" s="27">
        <v>85.825254</v>
      </c>
      <c r="M67" s="27"/>
      <c r="N67" s="23"/>
      <c r="O67" s="28"/>
      <c r="P67" s="29" t="s">
        <v>227</v>
      </c>
      <c r="Q67" s="30" t="s">
        <v>228</v>
      </c>
      <c r="R67" s="31" t="s">
        <v>229</v>
      </c>
      <c r="S67" s="30">
        <v>15.0</v>
      </c>
      <c r="T67" s="4"/>
      <c r="U67" s="4"/>
      <c r="V67" s="4"/>
      <c r="W67" s="4"/>
      <c r="X67" s="4"/>
      <c r="Y67" s="4"/>
      <c r="Z67" s="4"/>
    </row>
    <row r="68">
      <c r="A68" s="23">
        <v>58.0</v>
      </c>
      <c r="B68" s="27" t="s">
        <v>230</v>
      </c>
      <c r="C68" s="26" t="s">
        <v>231</v>
      </c>
      <c r="D68" s="26">
        <v>2.0</v>
      </c>
      <c r="E68" s="26" t="s">
        <v>203</v>
      </c>
      <c r="F68" s="26">
        <v>68.0</v>
      </c>
      <c r="G68" s="1"/>
      <c r="H68" s="27" t="s">
        <v>230</v>
      </c>
      <c r="I68" s="27">
        <v>21.768855</v>
      </c>
      <c r="J68" s="27">
        <v>83.489652</v>
      </c>
      <c r="K68" s="24"/>
      <c r="L68" s="24"/>
      <c r="M68" s="27"/>
      <c r="N68" s="23"/>
      <c r="O68" s="30" t="s">
        <v>230</v>
      </c>
      <c r="P68" s="29" t="s">
        <v>232</v>
      </c>
      <c r="Q68" s="30" t="s">
        <v>233</v>
      </c>
      <c r="R68" s="31" t="s">
        <v>234</v>
      </c>
      <c r="S68" s="30">
        <v>68.2</v>
      </c>
      <c r="T68" s="4"/>
      <c r="U68" s="4"/>
      <c r="V68" s="4"/>
      <c r="W68" s="4"/>
      <c r="X68" s="4"/>
      <c r="Y68" s="4"/>
      <c r="Z68" s="4"/>
    </row>
    <row r="69">
      <c r="A69" s="23">
        <v>59.0</v>
      </c>
      <c r="B69" s="27" t="s">
        <v>235</v>
      </c>
      <c r="C69" s="26" t="s">
        <v>236</v>
      </c>
      <c r="D69" s="26">
        <v>4.0</v>
      </c>
      <c r="E69" s="26" t="s">
        <v>203</v>
      </c>
      <c r="F69" s="26">
        <v>41.73</v>
      </c>
      <c r="G69" s="1"/>
      <c r="H69" s="27" t="s">
        <v>235</v>
      </c>
      <c r="I69" s="27">
        <v>20.93223</v>
      </c>
      <c r="J69" s="27">
        <v>85.200582</v>
      </c>
      <c r="K69" s="24"/>
      <c r="L69" s="24"/>
      <c r="M69" s="27"/>
      <c r="N69" s="23"/>
      <c r="O69" s="30" t="s">
        <v>235</v>
      </c>
      <c r="P69" s="29" t="s">
        <v>230</v>
      </c>
      <c r="Q69" s="30" t="s">
        <v>237</v>
      </c>
      <c r="R69" s="31" t="s">
        <v>238</v>
      </c>
      <c r="S69" s="30">
        <v>44.1</v>
      </c>
      <c r="T69" s="4"/>
      <c r="U69" s="4"/>
      <c r="V69" s="4"/>
      <c r="W69" s="4"/>
      <c r="X69" s="4"/>
      <c r="Y69" s="4"/>
      <c r="Z69" s="4"/>
    </row>
    <row r="70">
      <c r="A70" s="32">
        <v>60.0</v>
      </c>
      <c r="B70" s="24"/>
      <c r="C70" s="25" t="s">
        <v>239</v>
      </c>
      <c r="D70" s="26">
        <v>4.0</v>
      </c>
      <c r="E70" s="26" t="s">
        <v>203</v>
      </c>
      <c r="F70" s="26">
        <v>51.1</v>
      </c>
      <c r="G70" s="1"/>
      <c r="H70" s="24"/>
      <c r="I70" s="27">
        <v>20.930734</v>
      </c>
      <c r="J70" s="27">
        <v>85.54665</v>
      </c>
      <c r="K70" s="27">
        <v>20.44357</v>
      </c>
      <c r="L70" s="27">
        <v>85.897359</v>
      </c>
      <c r="M70" s="27"/>
      <c r="N70" s="23"/>
      <c r="O70" s="28"/>
      <c r="P70" s="29" t="s">
        <v>230</v>
      </c>
      <c r="Q70" s="30" t="s">
        <v>240</v>
      </c>
      <c r="R70" s="31" t="s">
        <v>241</v>
      </c>
      <c r="S70" s="30">
        <v>53.3</v>
      </c>
      <c r="T70" s="4"/>
      <c r="U70" s="4"/>
      <c r="V70" s="4"/>
      <c r="W70" s="4"/>
      <c r="X70" s="4"/>
      <c r="Y70" s="4"/>
      <c r="Z70" s="4"/>
    </row>
    <row r="71">
      <c r="A71" s="23">
        <v>61.0</v>
      </c>
      <c r="B71" s="27" t="s">
        <v>204</v>
      </c>
      <c r="C71" s="26" t="s">
        <v>242</v>
      </c>
      <c r="D71" s="26">
        <v>6.0</v>
      </c>
      <c r="E71" s="26" t="s">
        <v>203</v>
      </c>
      <c r="F71" s="26">
        <v>67.0</v>
      </c>
      <c r="G71" s="1"/>
      <c r="H71" s="27" t="s">
        <v>204</v>
      </c>
      <c r="I71" s="27">
        <v>20.260296</v>
      </c>
      <c r="J71" s="27">
        <v>85.839452</v>
      </c>
      <c r="K71" s="27">
        <v>20.739617</v>
      </c>
      <c r="L71" s="27">
        <v>86.045493</v>
      </c>
      <c r="M71" s="27"/>
      <c r="N71" s="23"/>
      <c r="O71" s="30" t="s">
        <v>204</v>
      </c>
      <c r="P71" s="30" t="s">
        <v>204</v>
      </c>
      <c r="Q71" s="30" t="s">
        <v>243</v>
      </c>
      <c r="R71" s="31" t="s">
        <v>244</v>
      </c>
      <c r="S71" s="30">
        <v>67.0</v>
      </c>
      <c r="T71" s="4"/>
      <c r="U71" s="4"/>
      <c r="V71" s="4"/>
      <c r="W71" s="4"/>
      <c r="X71" s="4"/>
      <c r="Y71" s="4"/>
      <c r="Z71" s="4"/>
    </row>
    <row r="72">
      <c r="A72" s="32">
        <v>62.0</v>
      </c>
      <c r="B72" s="27" t="s">
        <v>144</v>
      </c>
      <c r="C72" s="26" t="s">
        <v>245</v>
      </c>
      <c r="D72" s="26">
        <v>4.0</v>
      </c>
      <c r="E72" s="26" t="s">
        <v>203</v>
      </c>
      <c r="F72" s="26">
        <v>29.1</v>
      </c>
      <c r="G72" s="1"/>
      <c r="H72" s="27" t="s">
        <v>144</v>
      </c>
      <c r="I72" s="24"/>
      <c r="J72" s="24"/>
      <c r="K72" s="24"/>
      <c r="L72" s="24"/>
      <c r="M72" s="27"/>
      <c r="N72" s="23"/>
      <c r="O72" s="30" t="s">
        <v>144</v>
      </c>
      <c r="P72" s="29" t="s">
        <v>246</v>
      </c>
      <c r="Q72" s="30" t="s">
        <v>247</v>
      </c>
      <c r="R72" s="31" t="s">
        <v>248</v>
      </c>
      <c r="S72" s="30">
        <v>36.0</v>
      </c>
      <c r="T72" s="4"/>
      <c r="U72" s="4"/>
      <c r="V72" s="4"/>
      <c r="W72" s="4"/>
      <c r="X72" s="4"/>
      <c r="Y72" s="4"/>
      <c r="Z72" s="4"/>
    </row>
    <row r="73">
      <c r="A73" s="32">
        <v>63.0</v>
      </c>
      <c r="B73" s="24"/>
      <c r="C73" s="25" t="s">
        <v>249</v>
      </c>
      <c r="D73" s="26">
        <v>4.0</v>
      </c>
      <c r="E73" s="26" t="s">
        <v>203</v>
      </c>
      <c r="F73" s="26">
        <v>46.95</v>
      </c>
      <c r="G73" s="1"/>
      <c r="H73" s="24"/>
      <c r="I73" s="24"/>
      <c r="J73" s="24"/>
      <c r="K73" s="24"/>
      <c r="L73" s="24"/>
      <c r="M73" s="27"/>
      <c r="N73" s="23"/>
      <c r="O73" s="28"/>
      <c r="P73" s="29" t="s">
        <v>246</v>
      </c>
      <c r="Q73" s="30" t="s">
        <v>250</v>
      </c>
      <c r="R73" s="31" t="s">
        <v>251</v>
      </c>
      <c r="S73" s="30">
        <v>47.0</v>
      </c>
      <c r="T73" s="4"/>
      <c r="U73" s="4"/>
      <c r="V73" s="4"/>
      <c r="W73" s="4"/>
      <c r="X73" s="4"/>
      <c r="Y73" s="4"/>
      <c r="Z73" s="4"/>
    </row>
    <row r="74">
      <c r="A74" s="23">
        <v>64.0</v>
      </c>
      <c r="B74" s="24"/>
      <c r="C74" s="25" t="s">
        <v>252</v>
      </c>
      <c r="D74" s="26">
        <v>4.0</v>
      </c>
      <c r="E74" s="26" t="s">
        <v>203</v>
      </c>
      <c r="F74" s="26">
        <v>50.75</v>
      </c>
      <c r="G74" s="1"/>
      <c r="H74" s="24"/>
      <c r="I74" s="24"/>
      <c r="J74" s="24"/>
      <c r="K74" s="27">
        <v>21.557061</v>
      </c>
      <c r="L74" s="27">
        <v>84.152851</v>
      </c>
      <c r="M74" s="27"/>
      <c r="N74" s="23"/>
      <c r="O74" s="28"/>
      <c r="P74" s="29" t="s">
        <v>253</v>
      </c>
      <c r="Q74" s="30" t="s">
        <v>214</v>
      </c>
      <c r="R74" s="31" t="s">
        <v>254</v>
      </c>
      <c r="S74" s="30">
        <v>73.0</v>
      </c>
      <c r="T74" s="4"/>
      <c r="U74" s="4"/>
      <c r="V74" s="4"/>
      <c r="W74" s="4"/>
      <c r="X74" s="4"/>
      <c r="Y74" s="4"/>
      <c r="Z74" s="4"/>
    </row>
    <row r="75">
      <c r="A75" s="23">
        <v>65.0</v>
      </c>
      <c r="B75" s="27" t="s">
        <v>255</v>
      </c>
      <c r="C75" s="26" t="s">
        <v>256</v>
      </c>
      <c r="D75" s="26">
        <v>4.0</v>
      </c>
      <c r="E75" s="26" t="s">
        <v>203</v>
      </c>
      <c r="F75" s="26">
        <v>53.25</v>
      </c>
      <c r="G75" s="1"/>
      <c r="H75" s="27" t="s">
        <v>255</v>
      </c>
      <c r="I75" s="27">
        <v>21.920434</v>
      </c>
      <c r="J75" s="27">
        <v>85.276923</v>
      </c>
      <c r="K75" s="27">
        <v>20.44357</v>
      </c>
      <c r="L75" s="27">
        <v>85.897359</v>
      </c>
      <c r="M75" s="27"/>
      <c r="N75" s="23"/>
      <c r="O75" s="30" t="s">
        <v>255</v>
      </c>
      <c r="P75" s="29" t="s">
        <v>257</v>
      </c>
      <c r="Q75" s="30" t="s">
        <v>258</v>
      </c>
      <c r="R75" s="31" t="s">
        <v>259</v>
      </c>
      <c r="S75" s="30">
        <v>52.0</v>
      </c>
      <c r="T75" s="4"/>
      <c r="U75" s="4"/>
      <c r="V75" s="4"/>
      <c r="W75" s="4"/>
      <c r="X75" s="4"/>
      <c r="Y75" s="4"/>
      <c r="Z75" s="4"/>
    </row>
    <row r="76">
      <c r="A76" s="23">
        <v>66.0</v>
      </c>
      <c r="B76" s="27" t="s">
        <v>227</v>
      </c>
      <c r="C76" s="26" t="s">
        <v>260</v>
      </c>
      <c r="D76" s="26">
        <v>4.0</v>
      </c>
      <c r="E76" s="26" t="s">
        <v>203</v>
      </c>
      <c r="F76" s="26">
        <v>56.5</v>
      </c>
      <c r="G76" s="1"/>
      <c r="H76" s="27" t="s">
        <v>227</v>
      </c>
      <c r="I76" s="24"/>
      <c r="J76" s="24"/>
      <c r="K76" s="27">
        <v>19.807608</v>
      </c>
      <c r="L76" s="27">
        <v>85.825254</v>
      </c>
      <c r="M76" s="27"/>
      <c r="N76" s="23"/>
      <c r="O76" s="30" t="s">
        <v>227</v>
      </c>
      <c r="P76" s="30" t="s">
        <v>227</v>
      </c>
      <c r="Q76" s="30" t="s">
        <v>261</v>
      </c>
      <c r="R76" s="31" t="s">
        <v>262</v>
      </c>
      <c r="S76" s="30">
        <v>58.0</v>
      </c>
      <c r="T76" s="4"/>
      <c r="U76" s="4"/>
      <c r="V76" s="4"/>
      <c r="W76" s="4"/>
      <c r="X76" s="4"/>
      <c r="Y76" s="4"/>
      <c r="Z76" s="4"/>
    </row>
    <row r="77">
      <c r="A77" s="23">
        <v>67.0</v>
      </c>
      <c r="B77" s="24"/>
      <c r="C77" s="25" t="s">
        <v>263</v>
      </c>
      <c r="D77" s="26">
        <v>4.0</v>
      </c>
      <c r="E77" s="26" t="s">
        <v>203</v>
      </c>
      <c r="F77" s="26">
        <v>64.4</v>
      </c>
      <c r="G77" s="1"/>
      <c r="H77" s="24"/>
      <c r="I77" s="27">
        <v>19.392326</v>
      </c>
      <c r="J77" s="27">
        <v>85.063361</v>
      </c>
      <c r="K77" s="24"/>
      <c r="L77" s="24"/>
      <c r="M77" s="27"/>
      <c r="N77" s="23"/>
      <c r="O77" s="28"/>
      <c r="P77" s="29" t="s">
        <v>204</v>
      </c>
      <c r="Q77" s="30" t="s">
        <v>264</v>
      </c>
      <c r="R77" s="31" t="s">
        <v>265</v>
      </c>
      <c r="S77" s="30">
        <v>54.0</v>
      </c>
      <c r="T77" s="4"/>
      <c r="U77" s="4"/>
      <c r="V77" s="4"/>
      <c r="W77" s="4"/>
      <c r="X77" s="4"/>
      <c r="Y77" s="4"/>
      <c r="Z77" s="4"/>
    </row>
    <row r="78">
      <c r="A78" s="23">
        <v>68.0</v>
      </c>
      <c r="B78" s="27" t="s">
        <v>221</v>
      </c>
      <c r="C78" s="26" t="s">
        <v>266</v>
      </c>
      <c r="D78" s="26">
        <v>6.0</v>
      </c>
      <c r="E78" s="26" t="s">
        <v>203</v>
      </c>
      <c r="F78" s="26">
        <v>75.36</v>
      </c>
      <c r="G78" s="1"/>
      <c r="H78" s="27" t="s">
        <v>221</v>
      </c>
      <c r="I78" s="27">
        <v>19.392326</v>
      </c>
      <c r="J78" s="27">
        <v>85.063361</v>
      </c>
      <c r="K78" s="27">
        <v>19.894859</v>
      </c>
      <c r="L78" s="27">
        <v>85.429795</v>
      </c>
      <c r="M78" s="27"/>
      <c r="N78" s="23"/>
      <c r="O78" s="30" t="s">
        <v>221</v>
      </c>
      <c r="P78" s="29" t="s">
        <v>204</v>
      </c>
      <c r="Q78" s="30" t="s">
        <v>267</v>
      </c>
      <c r="R78" s="31" t="s">
        <v>268</v>
      </c>
      <c r="S78" s="30">
        <v>72.0</v>
      </c>
      <c r="T78" s="4"/>
      <c r="U78" s="4"/>
      <c r="V78" s="4"/>
      <c r="W78" s="4"/>
      <c r="X78" s="4"/>
      <c r="Y78" s="4"/>
      <c r="Z78" s="4"/>
    </row>
    <row r="79">
      <c r="A79" s="33">
        <v>69.0</v>
      </c>
      <c r="B79" s="33" t="s">
        <v>196</v>
      </c>
      <c r="C79" s="33" t="s">
        <v>269</v>
      </c>
      <c r="D79" s="33">
        <v>2.0</v>
      </c>
      <c r="E79" s="33" t="s">
        <v>203</v>
      </c>
      <c r="F79" s="33">
        <v>26.026</v>
      </c>
      <c r="G79" s="1"/>
      <c r="H79" s="33" t="s">
        <v>196</v>
      </c>
      <c r="I79" s="34"/>
      <c r="J79" s="34"/>
      <c r="K79" s="33">
        <v>21.557061</v>
      </c>
      <c r="L79" s="33">
        <v>84.152851</v>
      </c>
      <c r="M79" s="34"/>
      <c r="N79" s="23"/>
      <c r="O79" s="33" t="s">
        <v>196</v>
      </c>
      <c r="P79" s="34"/>
      <c r="Q79" s="34"/>
      <c r="R79" s="34"/>
      <c r="S79" s="34"/>
      <c r="T79" s="4"/>
      <c r="U79" s="4"/>
      <c r="V79" s="4"/>
      <c r="W79" s="4"/>
      <c r="X79" s="4"/>
      <c r="Y79" s="4"/>
      <c r="Z79" s="4"/>
    </row>
    <row r="80">
      <c r="A80" s="23">
        <v>70.0</v>
      </c>
      <c r="B80" s="27" t="s">
        <v>255</v>
      </c>
      <c r="C80" s="26" t="s">
        <v>270</v>
      </c>
      <c r="D80" s="26">
        <v>4.0</v>
      </c>
      <c r="E80" s="26" t="s">
        <v>203</v>
      </c>
      <c r="F80" s="26">
        <v>43.2</v>
      </c>
      <c r="G80" s="1"/>
      <c r="H80" s="27" t="s">
        <v>255</v>
      </c>
      <c r="I80" s="27">
        <v>21.947187</v>
      </c>
      <c r="J80" s="27">
        <v>85.249235</v>
      </c>
      <c r="K80" s="24"/>
      <c r="L80" s="24"/>
      <c r="M80" s="27"/>
      <c r="N80" s="23"/>
      <c r="O80" s="30" t="s">
        <v>255</v>
      </c>
      <c r="P80" s="29" t="s">
        <v>257</v>
      </c>
      <c r="Q80" s="30" t="s">
        <v>271</v>
      </c>
      <c r="R80" s="31" t="s">
        <v>272</v>
      </c>
      <c r="S80" s="30">
        <v>52.3</v>
      </c>
      <c r="T80" s="4"/>
      <c r="U80" s="4"/>
      <c r="V80" s="4"/>
      <c r="W80" s="4"/>
      <c r="X80" s="4"/>
      <c r="Y80" s="4"/>
      <c r="Z80" s="4"/>
    </row>
    <row r="81">
      <c r="A81" s="23">
        <v>71.0</v>
      </c>
      <c r="B81" s="27" t="s">
        <v>253</v>
      </c>
      <c r="C81" s="26" t="s">
        <v>273</v>
      </c>
      <c r="D81" s="26">
        <v>4.0</v>
      </c>
      <c r="E81" s="26" t="s">
        <v>203</v>
      </c>
      <c r="F81" s="26">
        <v>76.588</v>
      </c>
      <c r="G81" s="1"/>
      <c r="H81" s="27" t="s">
        <v>253</v>
      </c>
      <c r="I81" s="24"/>
      <c r="J81" s="24"/>
      <c r="K81" s="27">
        <v>20.286946</v>
      </c>
      <c r="L81" s="27">
        <v>86.673998</v>
      </c>
      <c r="M81" s="27"/>
      <c r="N81" s="23"/>
      <c r="O81" s="30" t="s">
        <v>253</v>
      </c>
      <c r="P81" s="30" t="s">
        <v>274</v>
      </c>
      <c r="Q81" s="30" t="s">
        <v>275</v>
      </c>
      <c r="R81" s="31" t="s">
        <v>276</v>
      </c>
      <c r="S81" s="30">
        <v>78.5</v>
      </c>
      <c r="T81" s="4"/>
      <c r="U81" s="4"/>
      <c r="V81" s="4"/>
      <c r="W81" s="4"/>
      <c r="X81" s="4"/>
      <c r="Y81" s="4"/>
      <c r="Z81" s="4"/>
    </row>
    <row r="82">
      <c r="A82" s="23">
        <v>72.0</v>
      </c>
      <c r="B82" s="27" t="s">
        <v>221</v>
      </c>
      <c r="C82" s="26" t="s">
        <v>277</v>
      </c>
      <c r="D82" s="26">
        <v>6.0</v>
      </c>
      <c r="E82" s="26" t="s">
        <v>203</v>
      </c>
      <c r="F82" s="26">
        <v>56.78</v>
      </c>
      <c r="G82" s="1"/>
      <c r="H82" s="27" t="s">
        <v>221</v>
      </c>
      <c r="I82" s="27">
        <v>19.894859</v>
      </c>
      <c r="J82" s="27">
        <v>85.429795</v>
      </c>
      <c r="K82" s="27">
        <v>20.260296</v>
      </c>
      <c r="L82" s="27">
        <v>85.839452</v>
      </c>
      <c r="M82" s="27"/>
      <c r="N82" s="23"/>
      <c r="O82" s="30" t="s">
        <v>221</v>
      </c>
      <c r="P82" s="29" t="s">
        <v>204</v>
      </c>
      <c r="Q82" s="30" t="s">
        <v>278</v>
      </c>
      <c r="R82" s="31" t="s">
        <v>279</v>
      </c>
      <c r="S82" s="30">
        <v>64.0</v>
      </c>
      <c r="T82" s="4"/>
      <c r="U82" s="4"/>
      <c r="V82" s="4"/>
      <c r="W82" s="4"/>
      <c r="X82" s="4"/>
      <c r="Y82" s="4"/>
      <c r="Z82" s="4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43">
        <v>133.809</v>
      </c>
      <c r="T83" s="4"/>
      <c r="U83" s="4"/>
      <c r="V83" s="4"/>
      <c r="W83" s="4"/>
      <c r="X83" s="4"/>
      <c r="Y83" s="4"/>
      <c r="Z83" s="4"/>
    </row>
    <row r="84">
      <c r="A84" s="1" t="s">
        <v>3</v>
      </c>
      <c r="B84" s="3" t="s">
        <v>4</v>
      </c>
      <c r="C84" s="6" t="s">
        <v>5</v>
      </c>
      <c r="D84" s="6" t="s">
        <v>6</v>
      </c>
      <c r="E84" s="6" t="s">
        <v>7</v>
      </c>
      <c r="F84" s="6" t="s">
        <v>8</v>
      </c>
      <c r="G84" s="1"/>
      <c r="H84" s="3" t="s">
        <v>4</v>
      </c>
      <c r="I84" s="3" t="s">
        <v>9</v>
      </c>
      <c r="J84" s="3" t="s">
        <v>10</v>
      </c>
      <c r="K84" s="3" t="s">
        <v>11</v>
      </c>
      <c r="L84" s="3" t="s">
        <v>12</v>
      </c>
      <c r="M84" s="7" t="s">
        <v>13</v>
      </c>
      <c r="N84" s="4"/>
      <c r="O84" s="5" t="s">
        <v>4</v>
      </c>
      <c r="P84" s="5" t="s">
        <v>14</v>
      </c>
      <c r="Q84" s="5" t="s">
        <v>15</v>
      </c>
      <c r="R84" s="5" t="s">
        <v>16</v>
      </c>
      <c r="S84" s="5" t="s">
        <v>17</v>
      </c>
      <c r="T84" s="4"/>
      <c r="U84" s="4"/>
      <c r="V84" s="4"/>
      <c r="W84" s="4"/>
      <c r="X84" s="4"/>
      <c r="Y84" s="4"/>
      <c r="Z84" s="4"/>
    </row>
    <row r="85">
      <c r="A85" s="8">
        <v>73.0</v>
      </c>
      <c r="B85" s="9" t="s">
        <v>135</v>
      </c>
      <c r="C85" s="10" t="s">
        <v>280</v>
      </c>
      <c r="D85" s="10">
        <v>6.0</v>
      </c>
      <c r="E85" s="10" t="s">
        <v>281</v>
      </c>
      <c r="F85" s="10">
        <v>124.48</v>
      </c>
      <c r="G85" s="1"/>
      <c r="H85" s="9" t="s">
        <v>135</v>
      </c>
      <c r="I85" s="9">
        <v>27.175255</v>
      </c>
      <c r="J85" s="9">
        <v>78.009816</v>
      </c>
      <c r="K85" s="9">
        <v>26.537036</v>
      </c>
      <c r="L85" s="9">
        <v>79.153905</v>
      </c>
      <c r="M85" s="9">
        <v>122.0</v>
      </c>
      <c r="N85" s="15"/>
      <c r="O85" s="11" t="s">
        <v>135</v>
      </c>
      <c r="P85" s="11"/>
      <c r="Q85" s="11" t="s">
        <v>282</v>
      </c>
      <c r="R85" s="11" t="s">
        <v>283</v>
      </c>
      <c r="S85" s="11">
        <v>122.0</v>
      </c>
      <c r="T85" s="4"/>
      <c r="U85" s="4"/>
      <c r="V85" s="4"/>
      <c r="W85" s="4"/>
      <c r="X85" s="4"/>
      <c r="Y85" s="4"/>
      <c r="Z85" s="4"/>
    </row>
    <row r="86">
      <c r="A86" s="8">
        <v>74.0</v>
      </c>
      <c r="B86" s="9" t="s">
        <v>284</v>
      </c>
      <c r="C86" s="10" t="s">
        <v>285</v>
      </c>
      <c r="D86" s="10">
        <v>6.0</v>
      </c>
      <c r="E86" s="10" t="s">
        <v>281</v>
      </c>
      <c r="F86" s="10">
        <v>160.21</v>
      </c>
      <c r="G86" s="1"/>
      <c r="H86" s="9" t="s">
        <v>284</v>
      </c>
      <c r="I86" s="9">
        <v>26.715563</v>
      </c>
      <c r="J86" s="9">
        <v>79.09171</v>
      </c>
      <c r="K86" s="9">
        <v>26.379609</v>
      </c>
      <c r="L86" s="9">
        <v>80.408615</v>
      </c>
      <c r="M86" s="9">
        <v>166.0</v>
      </c>
      <c r="N86" s="15"/>
      <c r="O86" s="11" t="s">
        <v>284</v>
      </c>
      <c r="P86" s="11"/>
      <c r="Q86" s="11" t="s">
        <v>286</v>
      </c>
      <c r="R86" s="11" t="s">
        <v>287</v>
      </c>
      <c r="S86" s="11">
        <v>166.0</v>
      </c>
      <c r="T86" s="4"/>
      <c r="U86" s="4"/>
      <c r="V86" s="4"/>
      <c r="W86" s="4"/>
      <c r="X86" s="4"/>
      <c r="Y86" s="4"/>
      <c r="Z86" s="4"/>
    </row>
    <row r="87">
      <c r="A87" s="21">
        <v>75.0</v>
      </c>
      <c r="B87" s="14"/>
      <c r="C87" s="10" t="s">
        <v>288</v>
      </c>
      <c r="D87" s="10">
        <v>4.0</v>
      </c>
      <c r="E87" s="10" t="s">
        <v>281</v>
      </c>
      <c r="F87" s="10">
        <v>84.708</v>
      </c>
      <c r="G87" s="1"/>
      <c r="H87" s="14"/>
      <c r="I87" s="14"/>
      <c r="J87" s="14"/>
      <c r="K87" s="9">
        <v>28.478588</v>
      </c>
      <c r="L87" s="9">
        <v>77.481369</v>
      </c>
      <c r="M87" s="9">
        <v>84.7</v>
      </c>
      <c r="N87" s="15"/>
      <c r="O87" s="17"/>
      <c r="P87" s="11"/>
      <c r="Q87" s="11" t="s">
        <v>289</v>
      </c>
      <c r="R87" s="11" t="s">
        <v>290</v>
      </c>
      <c r="S87" s="11">
        <v>84.7</v>
      </c>
      <c r="T87" s="4"/>
      <c r="U87" s="4"/>
      <c r="V87" s="4"/>
      <c r="W87" s="4"/>
      <c r="X87" s="4"/>
      <c r="Y87" s="4"/>
      <c r="Z87" s="4"/>
    </row>
    <row r="88">
      <c r="A88" s="8">
        <v>76.0</v>
      </c>
      <c r="B88" s="14"/>
      <c r="C88" s="10" t="s">
        <v>291</v>
      </c>
      <c r="D88" s="10">
        <v>6.0</v>
      </c>
      <c r="E88" s="10" t="s">
        <v>281</v>
      </c>
      <c r="F88" s="10">
        <v>72.644</v>
      </c>
      <c r="G88" s="1"/>
      <c r="H88" s="14"/>
      <c r="I88" s="9">
        <v>25.43533</v>
      </c>
      <c r="J88" s="9">
        <v>82.18906</v>
      </c>
      <c r="K88" s="9">
        <v>25.335649</v>
      </c>
      <c r="L88" s="9">
        <v>83.007629</v>
      </c>
      <c r="M88" s="9">
        <v>83.0</v>
      </c>
      <c r="N88" s="15"/>
      <c r="O88" s="17"/>
      <c r="P88" s="11"/>
      <c r="Q88" s="11" t="s">
        <v>292</v>
      </c>
      <c r="R88" s="11" t="s">
        <v>293</v>
      </c>
      <c r="S88" s="11">
        <v>83.0</v>
      </c>
      <c r="T88" s="4"/>
      <c r="U88" s="4"/>
      <c r="V88" s="4"/>
      <c r="W88" s="4"/>
      <c r="X88" s="4"/>
      <c r="Y88" s="4"/>
      <c r="Z88" s="4"/>
    </row>
    <row r="89">
      <c r="A89" s="8">
        <v>77.0</v>
      </c>
      <c r="B89" s="14"/>
      <c r="C89" s="10" t="s">
        <v>294</v>
      </c>
      <c r="D89" s="10">
        <v>4.0</v>
      </c>
      <c r="E89" s="10" t="s">
        <v>281</v>
      </c>
      <c r="F89" s="10">
        <v>17.0</v>
      </c>
      <c r="G89" s="1"/>
      <c r="H89" s="14"/>
      <c r="I89" s="9">
        <v>25.381487</v>
      </c>
      <c r="J89" s="9">
        <v>83.053391</v>
      </c>
      <c r="K89" s="35"/>
      <c r="L89" s="14"/>
      <c r="M89" s="9">
        <v>20.0</v>
      </c>
      <c r="N89" s="15"/>
      <c r="O89" s="17"/>
      <c r="P89" s="11"/>
      <c r="Q89" s="11" t="s">
        <v>295</v>
      </c>
      <c r="R89" s="11" t="s">
        <v>296</v>
      </c>
      <c r="S89" s="11">
        <v>20.0</v>
      </c>
      <c r="T89" s="4"/>
      <c r="U89" s="4"/>
      <c r="V89" s="4"/>
      <c r="W89" s="4"/>
      <c r="X89" s="4"/>
      <c r="Y89" s="4"/>
      <c r="Z89" s="4"/>
    </row>
    <row r="90">
      <c r="A90" s="21">
        <v>78.0</v>
      </c>
      <c r="B90" s="9" t="s">
        <v>135</v>
      </c>
      <c r="C90" s="10" t="s">
        <v>297</v>
      </c>
      <c r="D90" s="10">
        <v>4.0</v>
      </c>
      <c r="E90" s="10" t="s">
        <v>281</v>
      </c>
      <c r="F90" s="10">
        <v>16.98</v>
      </c>
      <c r="G90" s="1"/>
      <c r="H90" s="9" t="s">
        <v>135</v>
      </c>
      <c r="I90" s="14"/>
      <c r="J90" s="14"/>
      <c r="K90" s="14"/>
      <c r="L90" s="14"/>
      <c r="M90" s="9">
        <v>16.0</v>
      </c>
      <c r="N90" s="15"/>
      <c r="O90" s="11" t="s">
        <v>135</v>
      </c>
      <c r="P90" s="11"/>
      <c r="Q90" s="11" t="s">
        <v>298</v>
      </c>
      <c r="R90" s="11" t="s">
        <v>299</v>
      </c>
      <c r="S90" s="11">
        <v>16.0</v>
      </c>
      <c r="T90" s="4"/>
      <c r="U90" s="4"/>
      <c r="V90" s="4"/>
      <c r="W90" s="4"/>
      <c r="X90" s="4"/>
      <c r="Y90" s="4"/>
      <c r="Z90" s="4"/>
    </row>
    <row r="91">
      <c r="A91" s="21">
        <v>79.0</v>
      </c>
      <c r="B91" s="9" t="s">
        <v>135</v>
      </c>
      <c r="C91" s="10" t="s">
        <v>300</v>
      </c>
      <c r="D91" s="10">
        <v>4.0</v>
      </c>
      <c r="E91" s="10" t="s">
        <v>281</v>
      </c>
      <c r="F91" s="10">
        <v>32.8</v>
      </c>
      <c r="G91" s="1"/>
      <c r="H91" s="9" t="s">
        <v>135</v>
      </c>
      <c r="I91" s="14"/>
      <c r="J91" s="14"/>
      <c r="K91" s="14"/>
      <c r="L91" s="14"/>
      <c r="M91" s="9">
        <v>28.8</v>
      </c>
      <c r="N91" s="15"/>
      <c r="O91" s="11" t="s">
        <v>135</v>
      </c>
      <c r="P91" s="11"/>
      <c r="Q91" s="11" t="s">
        <v>301</v>
      </c>
      <c r="R91" s="11" t="s">
        <v>302</v>
      </c>
      <c r="S91" s="11">
        <v>28.8</v>
      </c>
      <c r="T91" s="4"/>
      <c r="U91" s="4"/>
      <c r="V91" s="4"/>
      <c r="W91" s="4"/>
      <c r="X91" s="4"/>
      <c r="Y91" s="4"/>
      <c r="Z91" s="4"/>
    </row>
    <row r="92">
      <c r="A92" s="21">
        <v>80.0</v>
      </c>
      <c r="B92" s="14"/>
      <c r="C92" s="10" t="s">
        <v>303</v>
      </c>
      <c r="D92" s="10">
        <v>4.0</v>
      </c>
      <c r="E92" s="10" t="s">
        <v>281</v>
      </c>
      <c r="F92" s="10">
        <v>49.7</v>
      </c>
      <c r="G92" s="1"/>
      <c r="H92" s="14"/>
      <c r="I92" s="9">
        <v>25.529855</v>
      </c>
      <c r="J92" s="9">
        <v>78.65278</v>
      </c>
      <c r="K92" s="9">
        <v>26.46352</v>
      </c>
      <c r="L92" s="9">
        <v>80.246895</v>
      </c>
      <c r="M92" s="9">
        <v>48.7</v>
      </c>
      <c r="N92" s="15"/>
      <c r="O92" s="17"/>
      <c r="P92" s="11"/>
      <c r="Q92" s="11" t="s">
        <v>304</v>
      </c>
      <c r="R92" s="11" t="s">
        <v>305</v>
      </c>
      <c r="S92" s="11">
        <v>48.7</v>
      </c>
      <c r="T92" s="4"/>
      <c r="U92" s="4"/>
      <c r="V92" s="4"/>
      <c r="W92" s="4"/>
      <c r="X92" s="4"/>
      <c r="Y92" s="4"/>
      <c r="Z92" s="4"/>
    </row>
    <row r="93">
      <c r="A93" s="21">
        <v>81.0</v>
      </c>
      <c r="B93" s="14"/>
      <c r="C93" s="10" t="s">
        <v>306</v>
      </c>
      <c r="D93" s="10">
        <v>4.0</v>
      </c>
      <c r="E93" s="10" t="s">
        <v>281</v>
      </c>
      <c r="F93" s="10">
        <v>49.3</v>
      </c>
      <c r="G93" s="1"/>
      <c r="H93" s="14"/>
      <c r="I93" s="9">
        <v>25.529855</v>
      </c>
      <c r="J93" s="9">
        <v>78.65278</v>
      </c>
      <c r="K93" s="14"/>
      <c r="L93" s="14"/>
      <c r="M93" s="9">
        <v>47.0</v>
      </c>
      <c r="N93" s="15"/>
      <c r="O93" s="17"/>
      <c r="P93" s="11"/>
      <c r="Q93" s="11" t="s">
        <v>307</v>
      </c>
      <c r="R93" s="11" t="s">
        <v>308</v>
      </c>
      <c r="S93" s="11">
        <v>47.0</v>
      </c>
      <c r="T93" s="4"/>
      <c r="U93" s="4"/>
      <c r="V93" s="4"/>
      <c r="W93" s="4"/>
      <c r="X93" s="4"/>
      <c r="Y93" s="4"/>
      <c r="Z93" s="4"/>
    </row>
    <row r="94">
      <c r="A94" s="21">
        <v>82.0</v>
      </c>
      <c r="B94" s="9" t="s">
        <v>22</v>
      </c>
      <c r="C94" s="10" t="s">
        <v>309</v>
      </c>
      <c r="D94" s="10">
        <v>4.0</v>
      </c>
      <c r="E94" s="10" t="s">
        <v>281</v>
      </c>
      <c r="F94" s="10">
        <v>135.41</v>
      </c>
      <c r="G94" s="1"/>
      <c r="H94" s="9" t="s">
        <v>22</v>
      </c>
      <c r="I94" s="9">
        <v>25.529855</v>
      </c>
      <c r="J94" s="9">
        <v>78.65278</v>
      </c>
      <c r="K94" s="9">
        <v>28.370255</v>
      </c>
      <c r="L94" s="9">
        <v>77.549161</v>
      </c>
      <c r="M94" s="9">
        <v>135.0</v>
      </c>
      <c r="N94" s="15"/>
      <c r="O94" s="11" t="s">
        <v>22</v>
      </c>
      <c r="P94" s="11" t="s">
        <v>22</v>
      </c>
      <c r="Q94" s="36" t="s">
        <v>524</v>
      </c>
      <c r="R94" s="11" t="s">
        <v>525</v>
      </c>
      <c r="S94" s="11">
        <v>135.0</v>
      </c>
      <c r="T94" s="4"/>
      <c r="U94" s="4"/>
      <c r="V94" s="4"/>
      <c r="W94" s="4"/>
      <c r="X94" s="4"/>
      <c r="Y94" s="4"/>
      <c r="Z94" s="4"/>
    </row>
    <row r="95">
      <c r="A95" s="21">
        <v>83.0</v>
      </c>
      <c r="B95" s="9" t="s">
        <v>312</v>
      </c>
      <c r="C95" s="10" t="s">
        <v>313</v>
      </c>
      <c r="D95" s="10">
        <v>4.0</v>
      </c>
      <c r="E95" s="10" t="s">
        <v>281</v>
      </c>
      <c r="F95" s="10">
        <v>62.8</v>
      </c>
      <c r="G95" s="1"/>
      <c r="H95" s="9" t="s">
        <v>312</v>
      </c>
      <c r="I95" s="9">
        <v>25.935955</v>
      </c>
      <c r="J95" s="9">
        <v>79.424328</v>
      </c>
      <c r="K95" s="9">
        <v>26.46352</v>
      </c>
      <c r="L95" s="9">
        <v>80.246895</v>
      </c>
      <c r="M95" s="9">
        <v>65.0</v>
      </c>
      <c r="N95" s="15"/>
      <c r="O95" s="11" t="s">
        <v>312</v>
      </c>
      <c r="P95" s="11"/>
      <c r="Q95" s="11" t="s">
        <v>314</v>
      </c>
      <c r="R95" s="11" t="s">
        <v>315</v>
      </c>
      <c r="S95" s="11">
        <v>65.0</v>
      </c>
      <c r="T95" s="4"/>
      <c r="U95" s="4"/>
      <c r="V95" s="4"/>
      <c r="W95" s="4"/>
      <c r="X95" s="4"/>
      <c r="Y95" s="4"/>
      <c r="Z95" s="4"/>
    </row>
    <row r="96">
      <c r="A96" s="21">
        <v>84.0</v>
      </c>
      <c r="B96" s="14"/>
      <c r="C96" s="10" t="s">
        <v>316</v>
      </c>
      <c r="D96" s="10">
        <v>4.0</v>
      </c>
      <c r="E96" s="10" t="s">
        <v>281</v>
      </c>
      <c r="F96" s="10">
        <v>217.315</v>
      </c>
      <c r="G96" s="1"/>
      <c r="H96" s="14"/>
      <c r="I96" s="9">
        <v>26.460914</v>
      </c>
      <c r="J96" s="9">
        <v>80.321759</v>
      </c>
      <c r="K96" s="9">
        <v>28.370448</v>
      </c>
      <c r="L96" s="9">
        <v>77.549224</v>
      </c>
      <c r="M96" s="9">
        <v>217.0</v>
      </c>
      <c r="N96" s="15"/>
      <c r="O96" s="17"/>
      <c r="P96" s="11"/>
      <c r="Q96" s="11" t="s">
        <v>317</v>
      </c>
      <c r="R96" s="11" t="s">
        <v>318</v>
      </c>
      <c r="S96" s="11">
        <v>217.0</v>
      </c>
      <c r="T96" s="4"/>
      <c r="U96" s="4"/>
      <c r="V96" s="4"/>
      <c r="W96" s="4"/>
      <c r="X96" s="4"/>
      <c r="Y96" s="4"/>
      <c r="Z96" s="4"/>
    </row>
    <row r="97">
      <c r="A97" s="21">
        <v>85.0</v>
      </c>
      <c r="B97" s="9" t="s">
        <v>40</v>
      </c>
      <c r="C97" s="10" t="s">
        <v>319</v>
      </c>
      <c r="D97" s="10">
        <v>4.0</v>
      </c>
      <c r="E97" s="10" t="s">
        <v>281</v>
      </c>
      <c r="F97" s="10">
        <v>14.71</v>
      </c>
      <c r="G97" s="1"/>
      <c r="H97" s="9" t="s">
        <v>40</v>
      </c>
      <c r="I97" s="9">
        <v>26.90356</v>
      </c>
      <c r="J97" s="9">
        <v>80.962603</v>
      </c>
      <c r="K97" s="14"/>
      <c r="L97" s="14"/>
      <c r="M97" s="9">
        <v>15.3</v>
      </c>
      <c r="N97" s="15"/>
      <c r="O97" s="11" t="s">
        <v>40</v>
      </c>
      <c r="P97" s="11"/>
      <c r="Q97" s="11" t="s">
        <v>320</v>
      </c>
      <c r="R97" s="11" t="s">
        <v>321</v>
      </c>
      <c r="S97" s="11">
        <v>15.3</v>
      </c>
      <c r="T97" s="4"/>
      <c r="U97" s="4"/>
      <c r="V97" s="4"/>
      <c r="W97" s="4"/>
      <c r="X97" s="4"/>
      <c r="Y97" s="4"/>
      <c r="Z97" s="4"/>
    </row>
    <row r="98">
      <c r="A98" s="21">
        <v>86.0</v>
      </c>
      <c r="B98" s="9" t="s">
        <v>40</v>
      </c>
      <c r="C98" s="10" t="s">
        <v>322</v>
      </c>
      <c r="D98" s="10">
        <v>4.0</v>
      </c>
      <c r="E98" s="10" t="s">
        <v>281</v>
      </c>
      <c r="F98" s="10">
        <v>116.1</v>
      </c>
      <c r="G98" s="1"/>
      <c r="H98" s="9" t="s">
        <v>40</v>
      </c>
      <c r="I98" s="9">
        <v>26.799071</v>
      </c>
      <c r="J98" s="9">
        <v>82.205232</v>
      </c>
      <c r="K98" s="9">
        <v>28.524633</v>
      </c>
      <c r="L98" s="9">
        <v>77.574324</v>
      </c>
      <c r="M98" s="9">
        <v>116.0</v>
      </c>
      <c r="N98" s="15"/>
      <c r="O98" s="11" t="s">
        <v>40</v>
      </c>
      <c r="P98" s="11" t="s">
        <v>22</v>
      </c>
      <c r="Q98" s="11" t="s">
        <v>323</v>
      </c>
      <c r="R98" s="11" t="s">
        <v>324</v>
      </c>
      <c r="S98" s="11">
        <v>116.0</v>
      </c>
      <c r="T98" s="4"/>
      <c r="U98" s="4"/>
      <c r="V98" s="4"/>
      <c r="W98" s="4"/>
      <c r="X98" s="4"/>
      <c r="Y98" s="4"/>
      <c r="Z98" s="4"/>
    </row>
    <row r="99">
      <c r="A99" s="37">
        <v>87.0</v>
      </c>
      <c r="B99" s="37" t="s">
        <v>325</v>
      </c>
      <c r="C99" s="37" t="s">
        <v>326</v>
      </c>
      <c r="D99" s="37">
        <v>4.0</v>
      </c>
      <c r="E99" s="37" t="s">
        <v>281</v>
      </c>
      <c r="F99" s="37">
        <v>17.66</v>
      </c>
      <c r="G99" s="1"/>
      <c r="H99" s="37" t="s">
        <v>325</v>
      </c>
      <c r="I99" s="37">
        <v>26.667798</v>
      </c>
      <c r="J99" s="37">
        <v>83.364233</v>
      </c>
      <c r="K99" s="38"/>
      <c r="L99" s="38"/>
      <c r="M99" s="38"/>
      <c r="N99" s="15"/>
      <c r="O99" s="37" t="s">
        <v>325</v>
      </c>
      <c r="P99" s="38"/>
      <c r="Q99" s="38"/>
      <c r="R99" s="38"/>
      <c r="S99" s="38"/>
      <c r="T99" s="4"/>
      <c r="U99" s="4"/>
      <c r="V99" s="4"/>
      <c r="W99" s="4"/>
      <c r="X99" s="4"/>
      <c r="Y99" s="4"/>
      <c r="Z99" s="4"/>
    </row>
    <row r="100">
      <c r="A100" s="21">
        <v>88.0</v>
      </c>
      <c r="B100" s="9" t="s">
        <v>40</v>
      </c>
      <c r="C100" s="10" t="s">
        <v>327</v>
      </c>
      <c r="D100" s="10">
        <v>4.0</v>
      </c>
      <c r="E100" s="10" t="s">
        <v>281</v>
      </c>
      <c r="F100" s="10">
        <v>32.27</v>
      </c>
      <c r="G100" s="1"/>
      <c r="H100" s="9" t="s">
        <v>40</v>
      </c>
      <c r="I100" s="14"/>
      <c r="J100" s="14"/>
      <c r="K100" s="14"/>
      <c r="L100" s="14"/>
      <c r="M100" s="9">
        <v>32.3</v>
      </c>
      <c r="N100" s="15"/>
      <c r="O100" s="11" t="s">
        <v>40</v>
      </c>
      <c r="P100" s="11"/>
      <c r="Q100" s="11" t="s">
        <v>328</v>
      </c>
      <c r="R100" s="11" t="s">
        <v>329</v>
      </c>
      <c r="S100" s="11">
        <v>32.3</v>
      </c>
      <c r="T100" s="4"/>
      <c r="U100" s="4"/>
      <c r="V100" s="4"/>
      <c r="W100" s="4"/>
      <c r="X100" s="4"/>
      <c r="Y100" s="4"/>
      <c r="Z100" s="4"/>
    </row>
    <row r="101">
      <c r="A101" s="21">
        <v>89.0</v>
      </c>
      <c r="B101" s="14"/>
      <c r="C101" s="10" t="s">
        <v>330</v>
      </c>
      <c r="D101" s="10">
        <v>4.0</v>
      </c>
      <c r="E101" s="10" t="s">
        <v>281</v>
      </c>
      <c r="F101" s="10">
        <v>81.12</v>
      </c>
      <c r="G101" s="1"/>
      <c r="H101" s="14"/>
      <c r="I101" s="9">
        <v>26.667798</v>
      </c>
      <c r="J101" s="9">
        <v>83.364233</v>
      </c>
      <c r="K101" s="9">
        <v>26.842091</v>
      </c>
      <c r="L101" s="9">
        <v>80.947821</v>
      </c>
      <c r="M101" s="9">
        <v>76.7</v>
      </c>
      <c r="N101" s="15"/>
      <c r="O101" s="17"/>
      <c r="P101" s="11"/>
      <c r="Q101" s="11" t="s">
        <v>331</v>
      </c>
      <c r="R101" s="11" t="s">
        <v>332</v>
      </c>
      <c r="S101" s="11">
        <v>76.7</v>
      </c>
      <c r="T101" s="4"/>
      <c r="U101" s="4"/>
      <c r="V101" s="4"/>
      <c r="W101" s="4"/>
      <c r="X101" s="4"/>
      <c r="Y101" s="4"/>
      <c r="Z101" s="4"/>
    </row>
    <row r="102">
      <c r="A102" s="21">
        <v>90.0</v>
      </c>
      <c r="B102" s="14"/>
      <c r="C102" s="10" t="s">
        <v>333</v>
      </c>
      <c r="D102" s="10">
        <v>4.0</v>
      </c>
      <c r="E102" s="10" t="s">
        <v>281</v>
      </c>
      <c r="F102" s="10">
        <v>43.4</v>
      </c>
      <c r="G102" s="1"/>
      <c r="H102" s="14"/>
      <c r="I102" s="9">
        <v>25.992939</v>
      </c>
      <c r="J102" s="9">
        <v>81.660411</v>
      </c>
      <c r="K102" s="9">
        <v>26.796123</v>
      </c>
      <c r="L102" s="9">
        <v>82.194286</v>
      </c>
      <c r="M102" s="14"/>
      <c r="N102" s="15"/>
      <c r="O102" s="17"/>
      <c r="P102" s="11"/>
      <c r="Q102" s="11" t="s">
        <v>334</v>
      </c>
      <c r="R102" s="11" t="s">
        <v>335</v>
      </c>
      <c r="S102" s="11">
        <v>227.0</v>
      </c>
      <c r="T102" s="4"/>
      <c r="U102" s="4"/>
      <c r="V102" s="4"/>
      <c r="W102" s="4"/>
      <c r="X102" s="4"/>
      <c r="Y102" s="4"/>
      <c r="Z102" s="4"/>
    </row>
    <row r="103">
      <c r="A103" s="21">
        <v>91.0</v>
      </c>
      <c r="B103" s="14"/>
      <c r="C103" s="10" t="s">
        <v>336</v>
      </c>
      <c r="D103" s="10">
        <v>4.0</v>
      </c>
      <c r="E103" s="10" t="s">
        <v>281</v>
      </c>
      <c r="F103" s="10">
        <v>47.7</v>
      </c>
      <c r="G103" s="1"/>
      <c r="H103" s="14"/>
      <c r="I103" s="14"/>
      <c r="J103" s="14"/>
      <c r="K103" s="9">
        <v>25.992939</v>
      </c>
      <c r="L103" s="9">
        <v>81.660411</v>
      </c>
      <c r="M103" s="9">
        <v>54.0</v>
      </c>
      <c r="N103" s="15"/>
      <c r="O103" s="17"/>
      <c r="P103" s="11"/>
      <c r="Q103" s="11" t="s">
        <v>337</v>
      </c>
      <c r="R103" s="11" t="s">
        <v>338</v>
      </c>
      <c r="S103" s="11">
        <v>54.0</v>
      </c>
      <c r="T103" s="4"/>
      <c r="U103" s="4"/>
      <c r="V103" s="4"/>
      <c r="W103" s="4"/>
      <c r="X103" s="4"/>
      <c r="Y103" s="4"/>
      <c r="Z103" s="4"/>
    </row>
    <row r="104">
      <c r="A104" s="8">
        <v>92.0</v>
      </c>
      <c r="B104" s="9" t="s">
        <v>339</v>
      </c>
      <c r="C104" s="10" t="s">
        <v>340</v>
      </c>
      <c r="D104" s="10">
        <v>4.0</v>
      </c>
      <c r="E104" s="10" t="s">
        <v>281</v>
      </c>
      <c r="F104" s="10">
        <v>121.8</v>
      </c>
      <c r="G104" s="1"/>
      <c r="H104" s="9" t="s">
        <v>339</v>
      </c>
      <c r="I104" s="9">
        <v>28.833498</v>
      </c>
      <c r="J104" s="9">
        <v>78.773286</v>
      </c>
      <c r="K104" s="9">
        <v>28.458234</v>
      </c>
      <c r="L104" s="9">
        <v>79.404745</v>
      </c>
      <c r="M104" s="14"/>
      <c r="N104" s="15"/>
      <c r="O104" s="11" t="s">
        <v>339</v>
      </c>
      <c r="P104" s="11" t="s">
        <v>341</v>
      </c>
      <c r="Q104" s="11" t="s">
        <v>342</v>
      </c>
      <c r="R104" s="11" t="s">
        <v>343</v>
      </c>
      <c r="S104" s="11">
        <v>122.0</v>
      </c>
      <c r="T104" s="4"/>
      <c r="U104" s="4"/>
      <c r="V104" s="4"/>
      <c r="W104" s="4"/>
      <c r="X104" s="4"/>
      <c r="Y104" s="4"/>
      <c r="Z104" s="4"/>
    </row>
    <row r="105">
      <c r="A105" s="8">
        <v>93.0</v>
      </c>
      <c r="B105" s="14"/>
      <c r="C105" s="10" t="s">
        <v>344</v>
      </c>
      <c r="D105" s="10">
        <v>4.0</v>
      </c>
      <c r="E105" s="10" t="s">
        <v>281</v>
      </c>
      <c r="F105" s="10">
        <v>75.93</v>
      </c>
      <c r="G105" s="1"/>
      <c r="H105" s="14"/>
      <c r="I105" s="9">
        <v>26.8381</v>
      </c>
      <c r="J105" s="9">
        <v>80.9346</v>
      </c>
      <c r="K105" s="9">
        <v>27.502675</v>
      </c>
      <c r="L105" s="9">
        <v>80.833514</v>
      </c>
      <c r="M105" s="9">
        <v>80.0</v>
      </c>
      <c r="N105" s="15"/>
      <c r="O105" s="17"/>
      <c r="P105" s="11"/>
      <c r="Q105" s="11" t="s">
        <v>345</v>
      </c>
      <c r="R105" s="11" t="s">
        <v>346</v>
      </c>
      <c r="S105" s="11">
        <v>80.0</v>
      </c>
      <c r="T105" s="4"/>
      <c r="U105" s="4"/>
      <c r="V105" s="4"/>
      <c r="W105" s="4"/>
      <c r="X105" s="4"/>
      <c r="Y105" s="4"/>
      <c r="Z105" s="4"/>
    </row>
    <row r="106">
      <c r="A106" s="8">
        <v>94.0</v>
      </c>
      <c r="B106" s="14"/>
      <c r="C106" s="10" t="s">
        <v>347</v>
      </c>
      <c r="D106" s="10">
        <v>4.0</v>
      </c>
      <c r="E106" s="10" t="s">
        <v>281</v>
      </c>
      <c r="F106" s="10">
        <v>126.3</v>
      </c>
      <c r="G106" s="1"/>
      <c r="H106" s="14"/>
      <c r="I106" s="9">
        <v>28.774997</v>
      </c>
      <c r="J106" s="9">
        <v>77.458697</v>
      </c>
      <c r="K106" s="9">
        <v>27.876107</v>
      </c>
      <c r="L106" s="9">
        <v>78.135815</v>
      </c>
      <c r="M106" s="9">
        <v>125.0</v>
      </c>
      <c r="N106" s="15"/>
      <c r="O106" s="17"/>
      <c r="P106" s="11"/>
      <c r="Q106" s="11" t="s">
        <v>348</v>
      </c>
      <c r="R106" s="11" t="s">
        <v>349</v>
      </c>
      <c r="S106" s="11">
        <v>125.0</v>
      </c>
      <c r="T106" s="4"/>
      <c r="U106" s="4"/>
      <c r="V106" s="4"/>
      <c r="W106" s="4"/>
      <c r="X106" s="4"/>
      <c r="Y106" s="4"/>
      <c r="Z106" s="4"/>
    </row>
    <row r="107">
      <c r="A107" s="8">
        <v>95.0</v>
      </c>
      <c r="B107" s="14"/>
      <c r="C107" s="10" t="s">
        <v>350</v>
      </c>
      <c r="D107" s="10">
        <v>4.0</v>
      </c>
      <c r="E107" s="10" t="s">
        <v>281</v>
      </c>
      <c r="F107" s="10">
        <v>45.2</v>
      </c>
      <c r="G107" s="1"/>
      <c r="H107" s="14"/>
      <c r="I107" s="9">
        <v>27.876107</v>
      </c>
      <c r="J107" s="9">
        <v>78.135815</v>
      </c>
      <c r="K107" s="9">
        <v>29.163916</v>
      </c>
      <c r="L107" s="9">
        <v>78.899212</v>
      </c>
      <c r="M107" s="9">
        <v>239.0</v>
      </c>
      <c r="N107" s="15"/>
      <c r="O107" s="17"/>
      <c r="P107" s="11"/>
      <c r="Q107" s="11" t="s">
        <v>351</v>
      </c>
      <c r="R107" s="11" t="s">
        <v>352</v>
      </c>
      <c r="S107" s="11">
        <v>239.0</v>
      </c>
      <c r="T107" s="4"/>
      <c r="U107" s="4"/>
      <c r="V107" s="4"/>
      <c r="W107" s="4"/>
      <c r="X107" s="4"/>
      <c r="Y107" s="4"/>
      <c r="Z107" s="4"/>
    </row>
    <row r="108">
      <c r="A108" s="8">
        <v>96.0</v>
      </c>
      <c r="B108" s="14"/>
      <c r="C108" s="10" t="s">
        <v>353</v>
      </c>
      <c r="D108" s="10">
        <v>4.0</v>
      </c>
      <c r="E108" s="10" t="s">
        <v>281</v>
      </c>
      <c r="F108" s="10">
        <v>61.2</v>
      </c>
      <c r="G108" s="1"/>
      <c r="H108" s="14"/>
      <c r="I108" s="9">
        <v>27.876107</v>
      </c>
      <c r="J108" s="9">
        <v>78.135815</v>
      </c>
      <c r="K108" s="9">
        <v>27.189236</v>
      </c>
      <c r="L108" s="9">
        <v>79.383696</v>
      </c>
      <c r="M108" s="9">
        <v>133.0</v>
      </c>
      <c r="N108" s="15"/>
      <c r="O108" s="17"/>
      <c r="P108" s="11"/>
      <c r="Q108" s="11" t="s">
        <v>354</v>
      </c>
      <c r="R108" s="11" t="s">
        <v>355</v>
      </c>
      <c r="S108" s="11">
        <v>133.0</v>
      </c>
      <c r="T108" s="4"/>
      <c r="U108" s="4"/>
      <c r="V108" s="4"/>
      <c r="W108" s="4"/>
      <c r="X108" s="4"/>
      <c r="Y108" s="4"/>
      <c r="Z108" s="4"/>
    </row>
    <row r="109">
      <c r="A109" s="8">
        <v>97.0</v>
      </c>
      <c r="B109" s="9" t="s">
        <v>356</v>
      </c>
      <c r="C109" s="10" t="s">
        <v>357</v>
      </c>
      <c r="D109" s="10">
        <v>4.0</v>
      </c>
      <c r="E109" s="10" t="s">
        <v>281</v>
      </c>
      <c r="F109" s="10">
        <v>61.41</v>
      </c>
      <c r="G109" s="1"/>
      <c r="H109" s="9" t="s">
        <v>356</v>
      </c>
      <c r="I109" s="14"/>
      <c r="J109" s="14"/>
      <c r="K109" s="14"/>
      <c r="L109" s="14"/>
      <c r="M109" s="14"/>
      <c r="N109" s="15"/>
      <c r="O109" s="11" t="s">
        <v>356</v>
      </c>
      <c r="P109" s="17"/>
      <c r="Q109" s="11" t="s">
        <v>358</v>
      </c>
      <c r="R109" s="11" t="s">
        <v>359</v>
      </c>
      <c r="S109" s="11">
        <v>63.0</v>
      </c>
      <c r="T109" s="4"/>
      <c r="U109" s="4"/>
      <c r="V109" s="4"/>
      <c r="W109" s="4"/>
      <c r="X109" s="4"/>
      <c r="Y109" s="4"/>
      <c r="Z109" s="4"/>
    </row>
    <row r="110">
      <c r="A110" s="8">
        <v>98.0</v>
      </c>
      <c r="B110" s="14"/>
      <c r="C110" s="10" t="s">
        <v>360</v>
      </c>
      <c r="D110" s="10">
        <v>4.0</v>
      </c>
      <c r="E110" s="10" t="s">
        <v>281</v>
      </c>
      <c r="F110" s="10">
        <v>70.0</v>
      </c>
      <c r="G110" s="1"/>
      <c r="H110" s="14"/>
      <c r="I110" s="9">
        <v>26.8381</v>
      </c>
      <c r="J110" s="9">
        <v>80.9346</v>
      </c>
      <c r="K110" s="14"/>
      <c r="L110" s="14"/>
      <c r="M110" s="9">
        <v>80.0</v>
      </c>
      <c r="N110" s="15"/>
      <c r="O110" s="17"/>
      <c r="P110" s="11"/>
      <c r="Q110" s="11" t="s">
        <v>361</v>
      </c>
      <c r="R110" s="11" t="s">
        <v>362</v>
      </c>
      <c r="S110" s="11">
        <v>80.0</v>
      </c>
      <c r="T110" s="4"/>
      <c r="U110" s="4"/>
      <c r="V110" s="4"/>
      <c r="W110" s="4"/>
      <c r="X110" s="4"/>
      <c r="Y110" s="4"/>
      <c r="Z110" s="4"/>
    </row>
    <row r="111">
      <c r="A111" s="8">
        <v>99.0</v>
      </c>
      <c r="B111" s="14"/>
      <c r="C111" s="10" t="s">
        <v>363</v>
      </c>
      <c r="D111" s="10">
        <v>4.0</v>
      </c>
      <c r="E111" s="10" t="s">
        <v>281</v>
      </c>
      <c r="F111" s="10">
        <v>35.78</v>
      </c>
      <c r="G111" s="1"/>
      <c r="H111" s="14"/>
      <c r="I111" s="9">
        <v>29.390556</v>
      </c>
      <c r="J111" s="9">
        <v>77.136359</v>
      </c>
      <c r="K111" s="9">
        <v>29.481151</v>
      </c>
      <c r="L111" s="9">
        <v>77.290134</v>
      </c>
      <c r="M111" s="9">
        <v>44.0</v>
      </c>
      <c r="N111" s="15"/>
      <c r="O111" s="17"/>
      <c r="P111" s="11"/>
      <c r="Q111" s="11" t="s">
        <v>364</v>
      </c>
      <c r="R111" s="11" t="s">
        <v>364</v>
      </c>
      <c r="S111" s="11">
        <v>44.0</v>
      </c>
      <c r="T111" s="4"/>
      <c r="U111" s="4"/>
      <c r="V111" s="4"/>
      <c r="W111" s="4"/>
      <c r="X111" s="4"/>
      <c r="Y111" s="4"/>
      <c r="Z111" s="4"/>
    </row>
    <row r="112">
      <c r="A112" s="8">
        <v>100.0</v>
      </c>
      <c r="B112" s="9" t="s">
        <v>22</v>
      </c>
      <c r="C112" s="10" t="s">
        <v>365</v>
      </c>
      <c r="D112" s="10">
        <v>4.0</v>
      </c>
      <c r="E112" s="10" t="s">
        <v>281</v>
      </c>
      <c r="F112" s="10">
        <v>41.34</v>
      </c>
      <c r="G112" s="1"/>
      <c r="H112" s="9" t="s">
        <v>22</v>
      </c>
      <c r="I112" s="9">
        <v>25.43813</v>
      </c>
      <c r="J112" s="9">
        <v>81.8338</v>
      </c>
      <c r="K112" s="14"/>
      <c r="L112" s="14"/>
      <c r="M112" s="9">
        <v>50.0</v>
      </c>
      <c r="N112" s="15"/>
      <c r="O112" s="11" t="s">
        <v>22</v>
      </c>
      <c r="P112" s="11" t="s">
        <v>22</v>
      </c>
      <c r="Q112" s="11" t="s">
        <v>366</v>
      </c>
      <c r="R112" s="11" t="s">
        <v>367</v>
      </c>
      <c r="S112" s="11">
        <v>50.0</v>
      </c>
      <c r="T112" s="4"/>
      <c r="U112" s="4"/>
      <c r="V112" s="4"/>
      <c r="W112" s="4"/>
      <c r="X112" s="4"/>
      <c r="Y112" s="4"/>
      <c r="Z112" s="4"/>
    </row>
    <row r="113">
      <c r="A113" s="8">
        <v>101.0</v>
      </c>
      <c r="B113" s="9" t="s">
        <v>368</v>
      </c>
      <c r="C113" s="10" t="s">
        <v>369</v>
      </c>
      <c r="D113" s="10">
        <v>4.0</v>
      </c>
      <c r="E113" s="10" t="s">
        <v>281</v>
      </c>
      <c r="F113" s="10">
        <v>127.43</v>
      </c>
      <c r="G113" s="1"/>
      <c r="H113" s="9" t="s">
        <v>368</v>
      </c>
      <c r="I113" s="9">
        <v>26.8381</v>
      </c>
      <c r="J113" s="9">
        <v>80.9346</v>
      </c>
      <c r="K113" s="14"/>
      <c r="L113" s="14"/>
      <c r="M113" s="9">
        <v>133.0</v>
      </c>
      <c r="N113" s="15"/>
      <c r="O113" s="11" t="s">
        <v>368</v>
      </c>
      <c r="P113" s="11"/>
      <c r="Q113" s="11" t="s">
        <v>370</v>
      </c>
      <c r="R113" s="11" t="s">
        <v>371</v>
      </c>
      <c r="S113" s="11">
        <v>133.0</v>
      </c>
      <c r="T113" s="4"/>
      <c r="U113" s="4"/>
      <c r="V113" s="4"/>
      <c r="W113" s="4"/>
      <c r="X113" s="4"/>
      <c r="Y113" s="4"/>
      <c r="Z113" s="4"/>
    </row>
    <row r="114">
      <c r="A114" s="8">
        <v>102.0</v>
      </c>
      <c r="B114" s="9" t="s">
        <v>372</v>
      </c>
      <c r="C114" s="10" t="s">
        <v>373</v>
      </c>
      <c r="D114" s="10">
        <v>4.0</v>
      </c>
      <c r="E114" s="10" t="s">
        <v>281</v>
      </c>
      <c r="F114" s="10">
        <v>61.19</v>
      </c>
      <c r="G114" s="1"/>
      <c r="H114" s="9" t="s">
        <v>372</v>
      </c>
      <c r="I114" s="14"/>
      <c r="J114" s="14"/>
      <c r="K114" s="9">
        <v>28.524254</v>
      </c>
      <c r="L114" s="9">
        <v>77.599519</v>
      </c>
      <c r="M114" s="9">
        <v>66.0</v>
      </c>
      <c r="N114" s="15"/>
      <c r="O114" s="11" t="s">
        <v>372</v>
      </c>
      <c r="P114" s="11"/>
      <c r="Q114" s="11" t="s">
        <v>374</v>
      </c>
      <c r="R114" s="11" t="s">
        <v>375</v>
      </c>
      <c r="S114" s="11">
        <v>66.0</v>
      </c>
      <c r="T114" s="4"/>
      <c r="U114" s="4"/>
      <c r="V114" s="4"/>
      <c r="W114" s="4"/>
      <c r="X114" s="4"/>
      <c r="Y114" s="4"/>
      <c r="Z114" s="4"/>
    </row>
    <row r="115">
      <c r="A115" s="8">
        <v>103.0</v>
      </c>
      <c r="B115" s="14"/>
      <c r="C115" s="10" t="s">
        <v>376</v>
      </c>
      <c r="D115" s="10">
        <v>4.0</v>
      </c>
      <c r="E115" s="10" t="s">
        <v>281</v>
      </c>
      <c r="F115" s="10">
        <v>78.31</v>
      </c>
      <c r="G115" s="1"/>
      <c r="H115" s="14"/>
      <c r="I115" s="9">
        <v>29.001856</v>
      </c>
      <c r="J115" s="9">
        <v>77.767967</v>
      </c>
      <c r="K115" s="9">
        <v>29.449698</v>
      </c>
      <c r="L115" s="9">
        <v>77.742933</v>
      </c>
      <c r="M115" s="9">
        <v>56.0</v>
      </c>
      <c r="N115" s="15"/>
      <c r="O115" s="17"/>
      <c r="P115" s="11"/>
      <c r="Q115" s="11" t="s">
        <v>377</v>
      </c>
      <c r="R115" s="11" t="s">
        <v>378</v>
      </c>
      <c r="S115" s="11">
        <v>56.0</v>
      </c>
      <c r="T115" s="4"/>
      <c r="U115" s="4"/>
      <c r="V115" s="4"/>
      <c r="W115" s="4"/>
      <c r="X115" s="4"/>
      <c r="Y115" s="4"/>
      <c r="Z115" s="4"/>
    </row>
    <row r="116">
      <c r="A116" s="8">
        <v>104.0</v>
      </c>
      <c r="B116" s="14"/>
      <c r="C116" s="10" t="s">
        <v>379</v>
      </c>
      <c r="D116" s="10">
        <v>4.0</v>
      </c>
      <c r="E116" s="10" t="s">
        <v>281</v>
      </c>
      <c r="F116" s="10">
        <v>78.0</v>
      </c>
      <c r="G116" s="1"/>
      <c r="H116" s="14"/>
      <c r="I116" s="9">
        <v>29.001856</v>
      </c>
      <c r="J116" s="9">
        <v>77.767967</v>
      </c>
      <c r="K116" s="14"/>
      <c r="L116" s="14"/>
      <c r="M116" s="9">
        <v>56.0</v>
      </c>
      <c r="N116" s="15"/>
      <c r="O116" s="17"/>
      <c r="P116" s="11"/>
      <c r="Q116" s="11" t="s">
        <v>377</v>
      </c>
      <c r="R116" s="11" t="s">
        <v>378</v>
      </c>
      <c r="S116" s="11">
        <v>56.0</v>
      </c>
      <c r="T116" s="4"/>
      <c r="U116" s="4"/>
      <c r="V116" s="4"/>
      <c r="W116" s="4"/>
      <c r="X116" s="4"/>
      <c r="Y116" s="4"/>
      <c r="Z116" s="4"/>
    </row>
    <row r="117">
      <c r="A117" s="8">
        <v>105.0</v>
      </c>
      <c r="B117" s="14"/>
      <c r="C117" s="10" t="s">
        <v>380</v>
      </c>
      <c r="D117" s="10">
        <v>4.0</v>
      </c>
      <c r="E117" s="10" t="s">
        <v>281</v>
      </c>
      <c r="F117" s="10">
        <v>72.15</v>
      </c>
      <c r="G117" s="1"/>
      <c r="H117" s="14"/>
      <c r="I117" s="9">
        <v>25.335649</v>
      </c>
      <c r="J117" s="9">
        <v>83.007629</v>
      </c>
      <c r="K117" s="9">
        <v>28.456995</v>
      </c>
      <c r="L117" s="9">
        <v>77.500197</v>
      </c>
      <c r="M117" s="9">
        <v>86.0</v>
      </c>
      <c r="N117" s="15"/>
      <c r="O117" s="17"/>
      <c r="P117" s="11"/>
      <c r="Q117" s="11" t="s">
        <v>381</v>
      </c>
      <c r="R117" s="11" t="s">
        <v>382</v>
      </c>
      <c r="S117" s="11">
        <v>86.0</v>
      </c>
      <c r="T117" s="4"/>
      <c r="U117" s="4"/>
      <c r="V117" s="4"/>
      <c r="W117" s="4"/>
      <c r="X117" s="4"/>
      <c r="Y117" s="4"/>
      <c r="Z117" s="4"/>
    </row>
    <row r="118">
      <c r="A118" s="21">
        <v>106.0</v>
      </c>
      <c r="B118" s="9" t="s">
        <v>383</v>
      </c>
      <c r="C118" s="10" t="s">
        <v>384</v>
      </c>
      <c r="D118" s="10">
        <v>4.0</v>
      </c>
      <c r="E118" s="10" t="s">
        <v>281</v>
      </c>
      <c r="F118" s="10">
        <v>58.62</v>
      </c>
      <c r="G118" s="1"/>
      <c r="H118" s="9" t="s">
        <v>383</v>
      </c>
      <c r="I118" s="9">
        <v>26.255881</v>
      </c>
      <c r="J118" s="9">
        <v>83.731414</v>
      </c>
      <c r="K118" s="14"/>
      <c r="L118" s="14"/>
      <c r="M118" s="14"/>
      <c r="N118" s="15"/>
      <c r="O118" s="11" t="s">
        <v>383</v>
      </c>
      <c r="P118" s="17"/>
      <c r="Q118" s="11" t="s">
        <v>385</v>
      </c>
      <c r="R118" s="11" t="s">
        <v>386</v>
      </c>
      <c r="S118" s="11">
        <v>60.0</v>
      </c>
      <c r="T118" s="4"/>
      <c r="U118" s="4"/>
      <c r="V118" s="4"/>
      <c r="W118" s="4"/>
      <c r="X118" s="4"/>
      <c r="Y118" s="4"/>
      <c r="Z118" s="4"/>
    </row>
    <row r="119">
      <c r="A119" s="8">
        <v>107.0</v>
      </c>
      <c r="B119" s="9" t="s">
        <v>387</v>
      </c>
      <c r="C119" s="10" t="s">
        <v>388</v>
      </c>
      <c r="D119" s="10">
        <v>4.0</v>
      </c>
      <c r="E119" s="10" t="s">
        <v>281</v>
      </c>
      <c r="F119" s="10">
        <v>51.45</v>
      </c>
      <c r="G119" s="1"/>
      <c r="H119" s="9" t="s">
        <v>387</v>
      </c>
      <c r="I119" s="9">
        <v>29.974813</v>
      </c>
      <c r="J119" s="9">
        <v>77.663731</v>
      </c>
      <c r="K119" s="14"/>
      <c r="L119" s="14"/>
      <c r="M119" s="9">
        <v>45.0</v>
      </c>
      <c r="N119" s="15"/>
      <c r="O119" s="11" t="s">
        <v>387</v>
      </c>
      <c r="P119" s="11"/>
      <c r="Q119" s="11" t="s">
        <v>389</v>
      </c>
      <c r="R119" s="11" t="s">
        <v>390</v>
      </c>
      <c r="S119" s="11">
        <v>45.0</v>
      </c>
      <c r="T119" s="4"/>
      <c r="U119" s="4"/>
      <c r="V119" s="4"/>
      <c r="W119" s="4"/>
      <c r="X119" s="4"/>
      <c r="Y119" s="4"/>
      <c r="Z119" s="4"/>
    </row>
    <row r="120">
      <c r="A120" s="8">
        <v>108.0</v>
      </c>
      <c r="B120" s="9" t="s">
        <v>391</v>
      </c>
      <c r="C120" s="10" t="s">
        <v>392</v>
      </c>
      <c r="D120" s="10">
        <v>2.0</v>
      </c>
      <c r="E120" s="10" t="s">
        <v>281</v>
      </c>
      <c r="F120" s="10">
        <v>146.35</v>
      </c>
      <c r="G120" s="1"/>
      <c r="H120" s="9" t="s">
        <v>391</v>
      </c>
      <c r="I120" s="9">
        <v>27.876107</v>
      </c>
      <c r="J120" s="9">
        <v>78.135815</v>
      </c>
      <c r="K120" s="9">
        <v>28.879655</v>
      </c>
      <c r="L120" s="9">
        <v>78.809534</v>
      </c>
      <c r="M120" s="9">
        <v>156.0</v>
      </c>
      <c r="N120" s="15"/>
      <c r="O120" s="11" t="s">
        <v>391</v>
      </c>
      <c r="P120" s="11"/>
      <c r="Q120" s="11" t="s">
        <v>393</v>
      </c>
      <c r="R120" s="11" t="s">
        <v>394</v>
      </c>
      <c r="S120" s="11">
        <v>156.0</v>
      </c>
      <c r="T120" s="4"/>
      <c r="U120" s="4"/>
      <c r="V120" s="4"/>
      <c r="W120" s="4"/>
      <c r="X120" s="4"/>
      <c r="Y120" s="4"/>
      <c r="Z120" s="4"/>
    </row>
    <row r="121">
      <c r="A121" s="8">
        <v>109.0</v>
      </c>
      <c r="B121" s="9" t="s">
        <v>395</v>
      </c>
      <c r="C121" s="10" t="s">
        <v>396</v>
      </c>
      <c r="D121" s="10">
        <v>2.0</v>
      </c>
      <c r="E121" s="10" t="s">
        <v>281</v>
      </c>
      <c r="F121" s="10">
        <v>166.0</v>
      </c>
      <c r="G121" s="1"/>
      <c r="H121" s="9" t="s">
        <v>395</v>
      </c>
      <c r="I121" s="14"/>
      <c r="J121" s="14"/>
      <c r="K121" s="9">
        <v>25.796706</v>
      </c>
      <c r="L121" s="9">
        <v>82.488899</v>
      </c>
      <c r="M121" s="9">
        <v>193.0</v>
      </c>
      <c r="N121" s="15"/>
      <c r="O121" s="11" t="s">
        <v>395</v>
      </c>
      <c r="P121" s="11"/>
      <c r="Q121" s="11" t="s">
        <v>397</v>
      </c>
      <c r="R121" s="11" t="s">
        <v>398</v>
      </c>
      <c r="S121" s="11">
        <v>193.0</v>
      </c>
      <c r="T121" s="4"/>
      <c r="U121" s="4"/>
      <c r="V121" s="4"/>
      <c r="W121" s="4"/>
      <c r="X121" s="4"/>
      <c r="Y121" s="4"/>
      <c r="Z121" s="4"/>
    </row>
    <row r="122">
      <c r="A122" s="8">
        <v>110.0</v>
      </c>
      <c r="B122" s="9" t="s">
        <v>383</v>
      </c>
      <c r="C122" s="10" t="s">
        <v>399</v>
      </c>
      <c r="D122" s="10">
        <v>2.0</v>
      </c>
      <c r="E122" s="10" t="s">
        <v>281</v>
      </c>
      <c r="F122" s="10">
        <v>54.36</v>
      </c>
      <c r="G122" s="1"/>
      <c r="H122" s="9" t="s">
        <v>383</v>
      </c>
      <c r="I122" s="9">
        <v>26.957161</v>
      </c>
      <c r="J122" s="9">
        <v>82.862116</v>
      </c>
      <c r="K122" s="14"/>
      <c r="L122" s="14"/>
      <c r="M122" s="9">
        <v>35.0</v>
      </c>
      <c r="N122" s="15"/>
      <c r="O122" s="11" t="s">
        <v>383</v>
      </c>
      <c r="P122" s="11"/>
      <c r="Q122" s="11" t="s">
        <v>400</v>
      </c>
      <c r="R122" s="11" t="s">
        <v>401</v>
      </c>
      <c r="S122" s="11">
        <v>35.0</v>
      </c>
      <c r="T122" s="4"/>
      <c r="U122" s="4"/>
      <c r="V122" s="4"/>
      <c r="W122" s="4"/>
      <c r="X122" s="4"/>
      <c r="Y122" s="4"/>
      <c r="Z122" s="4"/>
    </row>
    <row r="123">
      <c r="A123" s="8">
        <v>111.0</v>
      </c>
      <c r="B123" s="14"/>
      <c r="C123" s="10" t="s">
        <v>402</v>
      </c>
      <c r="D123" s="10">
        <v>2.0</v>
      </c>
      <c r="E123" s="10" t="s">
        <v>281</v>
      </c>
      <c r="F123" s="10">
        <v>43.78</v>
      </c>
      <c r="G123" s="1"/>
      <c r="H123" s="14"/>
      <c r="I123" s="9">
        <v>27.200948</v>
      </c>
      <c r="J123" s="9">
        <v>77.953974</v>
      </c>
      <c r="K123" s="9">
        <v>29.001856</v>
      </c>
      <c r="L123" s="9">
        <v>77.767967</v>
      </c>
      <c r="M123" s="9">
        <v>50.0</v>
      </c>
      <c r="N123" s="15"/>
      <c r="O123" s="17"/>
      <c r="P123" s="11"/>
      <c r="Q123" s="11" t="s">
        <v>403</v>
      </c>
      <c r="R123" s="11" t="s">
        <v>404</v>
      </c>
      <c r="S123" s="11">
        <v>50.0</v>
      </c>
      <c r="T123" s="4"/>
      <c r="U123" s="4"/>
      <c r="V123" s="4"/>
      <c r="W123" s="4"/>
      <c r="X123" s="4"/>
      <c r="Y123" s="4"/>
      <c r="Z123" s="4"/>
    </row>
    <row r="124">
      <c r="A124" s="8">
        <v>112.0</v>
      </c>
      <c r="B124" s="9" t="s">
        <v>22</v>
      </c>
      <c r="C124" s="10" t="s">
        <v>405</v>
      </c>
      <c r="D124" s="10">
        <v>4.0</v>
      </c>
      <c r="E124" s="10" t="s">
        <v>281</v>
      </c>
      <c r="F124" s="10">
        <v>5.41</v>
      </c>
      <c r="G124" s="1"/>
      <c r="H124" s="9" t="s">
        <v>22</v>
      </c>
      <c r="I124" s="9">
        <v>27.186145</v>
      </c>
      <c r="J124" s="9">
        <v>78.005859</v>
      </c>
      <c r="K124" s="9">
        <v>26.842091</v>
      </c>
      <c r="L124" s="9">
        <v>80.947821</v>
      </c>
      <c r="M124" s="9">
        <v>6.3</v>
      </c>
      <c r="N124" s="15"/>
      <c r="O124" s="11" t="s">
        <v>22</v>
      </c>
      <c r="P124" s="11" t="s">
        <v>22</v>
      </c>
      <c r="Q124" s="11" t="s">
        <v>406</v>
      </c>
      <c r="R124" s="11" t="s">
        <v>407</v>
      </c>
      <c r="S124" s="11">
        <v>6.3</v>
      </c>
      <c r="T124" s="4"/>
      <c r="U124" s="4"/>
      <c r="V124" s="4"/>
      <c r="W124" s="4"/>
      <c r="X124" s="4"/>
      <c r="Y124" s="4"/>
      <c r="Z124" s="4"/>
    </row>
    <row r="125">
      <c r="A125" s="8">
        <v>113.0</v>
      </c>
      <c r="B125" s="9" t="s">
        <v>408</v>
      </c>
      <c r="C125" s="10" t="s">
        <v>409</v>
      </c>
      <c r="D125" s="10">
        <v>4.0</v>
      </c>
      <c r="E125" s="10" t="s">
        <v>281</v>
      </c>
      <c r="F125" s="10">
        <v>83.8</v>
      </c>
      <c r="G125" s="1"/>
      <c r="H125" s="9" t="s">
        <v>408</v>
      </c>
      <c r="I125" s="9">
        <v>29.001856</v>
      </c>
      <c r="J125" s="9">
        <v>77.767967</v>
      </c>
      <c r="K125" s="14"/>
      <c r="L125" s="14"/>
      <c r="M125" s="9">
        <v>72.0</v>
      </c>
      <c r="N125" s="15"/>
      <c r="O125" s="11" t="s">
        <v>408</v>
      </c>
      <c r="P125" s="11"/>
      <c r="Q125" s="11" t="s">
        <v>410</v>
      </c>
      <c r="R125" s="11" t="s">
        <v>411</v>
      </c>
      <c r="S125" s="11">
        <v>72.0</v>
      </c>
      <c r="T125" s="4"/>
      <c r="U125" s="4"/>
      <c r="V125" s="4"/>
      <c r="W125" s="4"/>
      <c r="X125" s="4"/>
      <c r="Y125" s="4"/>
      <c r="Z125" s="4"/>
    </row>
    <row r="126">
      <c r="A126" s="8">
        <v>114.0</v>
      </c>
      <c r="B126" s="14"/>
      <c r="C126" s="10" t="s">
        <v>412</v>
      </c>
      <c r="D126" s="10">
        <v>2.0</v>
      </c>
      <c r="E126" s="10" t="s">
        <v>281</v>
      </c>
      <c r="F126" s="10">
        <v>81.0</v>
      </c>
      <c r="G126" s="1"/>
      <c r="H126" s="14"/>
      <c r="I126" s="9">
        <v>27.175255</v>
      </c>
      <c r="J126" s="9">
        <v>78.009816</v>
      </c>
      <c r="K126" s="9">
        <v>27.876107</v>
      </c>
      <c r="L126" s="9">
        <v>78.135815</v>
      </c>
      <c r="M126" s="9">
        <v>87.0</v>
      </c>
      <c r="N126" s="15"/>
      <c r="O126" s="17"/>
      <c r="P126" s="11"/>
      <c r="Q126" s="11" t="s">
        <v>413</v>
      </c>
      <c r="R126" s="11" t="s">
        <v>414</v>
      </c>
      <c r="S126" s="11">
        <v>87.0</v>
      </c>
      <c r="T126" s="4"/>
      <c r="U126" s="4"/>
      <c r="V126" s="4"/>
      <c r="W126" s="4"/>
      <c r="X126" s="4"/>
      <c r="Y126" s="4"/>
      <c r="Z126" s="4"/>
    </row>
    <row r="127">
      <c r="A127" s="8">
        <v>115.0</v>
      </c>
      <c r="B127" s="14"/>
      <c r="C127" s="10" t="s">
        <v>415</v>
      </c>
      <c r="D127" s="10">
        <v>6.0</v>
      </c>
      <c r="E127" s="10" t="s">
        <v>281</v>
      </c>
      <c r="F127" s="10">
        <v>45.83</v>
      </c>
      <c r="G127" s="1"/>
      <c r="H127" s="14"/>
      <c r="I127" s="9">
        <v>27.876107</v>
      </c>
      <c r="J127" s="9">
        <v>78.135815</v>
      </c>
      <c r="K127" s="14"/>
      <c r="L127" s="14"/>
      <c r="M127" s="9">
        <v>48.0</v>
      </c>
      <c r="N127" s="15"/>
      <c r="O127" s="17"/>
      <c r="P127" s="11"/>
      <c r="Q127" s="11" t="s">
        <v>416</v>
      </c>
      <c r="R127" s="11" t="s">
        <v>351</v>
      </c>
      <c r="S127" s="11">
        <v>48.0</v>
      </c>
      <c r="T127" s="4"/>
      <c r="U127" s="4"/>
      <c r="V127" s="4"/>
      <c r="W127" s="4"/>
      <c r="X127" s="4"/>
      <c r="Y127" s="4"/>
      <c r="Z127" s="4"/>
    </row>
    <row r="128">
      <c r="A128" s="8">
        <v>116.0</v>
      </c>
      <c r="B128" s="9" t="s">
        <v>417</v>
      </c>
      <c r="C128" s="10" t="s">
        <v>418</v>
      </c>
      <c r="D128" s="10">
        <v>2.0</v>
      </c>
      <c r="E128" s="10" t="s">
        <v>281</v>
      </c>
      <c r="F128" s="10">
        <v>155.9</v>
      </c>
      <c r="G128" s="1"/>
      <c r="H128" s="9" t="s">
        <v>417</v>
      </c>
      <c r="I128" s="9">
        <v>26.404594</v>
      </c>
      <c r="J128" s="9">
        <v>82.606515</v>
      </c>
      <c r="K128" s="14"/>
      <c r="L128" s="14"/>
      <c r="M128" s="14"/>
      <c r="N128" s="15"/>
      <c r="O128" s="11" t="s">
        <v>417</v>
      </c>
      <c r="P128" s="22"/>
      <c r="Q128" s="11" t="s">
        <v>419</v>
      </c>
      <c r="R128" s="11" t="s">
        <v>420</v>
      </c>
      <c r="S128" s="11">
        <v>170.0</v>
      </c>
      <c r="T128" s="4"/>
      <c r="U128" s="4"/>
      <c r="V128" s="4"/>
      <c r="W128" s="4"/>
      <c r="X128" s="4"/>
      <c r="Y128" s="4"/>
      <c r="Z128" s="4"/>
    </row>
    <row r="129">
      <c r="A129" s="8">
        <v>117.0</v>
      </c>
      <c r="B129" s="9" t="s">
        <v>421</v>
      </c>
      <c r="C129" s="10" t="s">
        <v>422</v>
      </c>
      <c r="D129" s="10">
        <v>2.0</v>
      </c>
      <c r="E129" s="10" t="s">
        <v>281</v>
      </c>
      <c r="F129" s="10">
        <v>74.46</v>
      </c>
      <c r="G129" s="1"/>
      <c r="H129" s="9" t="s">
        <v>421</v>
      </c>
      <c r="I129" s="14"/>
      <c r="J129" s="14"/>
      <c r="K129" s="9">
        <v>28.458234</v>
      </c>
      <c r="L129" s="9">
        <v>79.404745</v>
      </c>
      <c r="M129" s="9">
        <v>90.8</v>
      </c>
      <c r="N129" s="15"/>
      <c r="O129" s="11" t="s">
        <v>421</v>
      </c>
      <c r="P129" s="17"/>
      <c r="Q129" s="11" t="s">
        <v>423</v>
      </c>
      <c r="R129" s="11" t="s">
        <v>424</v>
      </c>
      <c r="S129" s="11">
        <v>90.8</v>
      </c>
      <c r="T129" s="4"/>
      <c r="U129" s="4"/>
      <c r="V129" s="4"/>
      <c r="W129" s="4"/>
      <c r="X129" s="4"/>
      <c r="Y129" s="4"/>
      <c r="Z129" s="4"/>
    </row>
    <row r="130">
      <c r="A130" s="8">
        <v>119.0</v>
      </c>
      <c r="B130" s="14"/>
      <c r="C130" s="10" t="s">
        <v>425</v>
      </c>
      <c r="D130" s="10">
        <v>4.0</v>
      </c>
      <c r="E130" s="10" t="s">
        <v>281</v>
      </c>
      <c r="F130" s="10">
        <v>59.92</v>
      </c>
      <c r="G130" s="1"/>
      <c r="H130" s="14"/>
      <c r="I130" s="9">
        <v>26.255881</v>
      </c>
      <c r="J130" s="9">
        <v>83.731414</v>
      </c>
      <c r="K130" s="14"/>
      <c r="L130" s="14"/>
      <c r="M130" s="9">
        <v>167.0</v>
      </c>
      <c r="N130" s="15"/>
      <c r="O130" s="17"/>
      <c r="P130" s="17"/>
      <c r="Q130" s="11" t="s">
        <v>426</v>
      </c>
      <c r="R130" s="11" t="s">
        <v>427</v>
      </c>
      <c r="S130" s="11">
        <v>167.0</v>
      </c>
      <c r="T130" s="4"/>
      <c r="U130" s="4"/>
      <c r="V130" s="4"/>
      <c r="W130" s="4"/>
      <c r="X130" s="4"/>
      <c r="Y130" s="4"/>
      <c r="Z130" s="4"/>
    </row>
    <row r="131">
      <c r="A131" s="8">
        <v>118.0</v>
      </c>
      <c r="B131" s="14"/>
      <c r="C131" s="10" t="s">
        <v>428</v>
      </c>
      <c r="D131" s="10">
        <v>4.0</v>
      </c>
      <c r="E131" s="10" t="s">
        <v>281</v>
      </c>
      <c r="F131" s="10">
        <v>59.01</v>
      </c>
      <c r="G131" s="1"/>
      <c r="H131" s="14"/>
      <c r="I131" s="9">
        <v>26.255881</v>
      </c>
      <c r="J131" s="9">
        <v>83.731414</v>
      </c>
      <c r="K131" s="9">
        <v>25.335649</v>
      </c>
      <c r="L131" s="9">
        <v>83.007629</v>
      </c>
      <c r="M131" s="9">
        <v>62.1</v>
      </c>
      <c r="N131" s="15"/>
      <c r="O131" s="17"/>
      <c r="P131" s="11"/>
      <c r="Q131" s="11" t="s">
        <v>426</v>
      </c>
      <c r="R131" s="11" t="s">
        <v>427</v>
      </c>
      <c r="S131" s="11">
        <v>62.1</v>
      </c>
      <c r="T131" s="4"/>
      <c r="U131" s="4"/>
      <c r="V131" s="4"/>
      <c r="W131" s="4"/>
      <c r="X131" s="4"/>
      <c r="Y131" s="4"/>
      <c r="Z131" s="4"/>
    </row>
    <row r="132">
      <c r="A132" s="8">
        <v>120.0</v>
      </c>
      <c r="B132" s="14"/>
      <c r="C132" s="10" t="s">
        <v>429</v>
      </c>
      <c r="D132" s="10">
        <v>4.0</v>
      </c>
      <c r="E132" s="10" t="s">
        <v>281</v>
      </c>
      <c r="F132" s="10">
        <v>74.53</v>
      </c>
      <c r="G132" s="1"/>
      <c r="H132" s="14"/>
      <c r="I132" s="9">
        <v>26.260473</v>
      </c>
      <c r="J132" s="9">
        <v>82.238053</v>
      </c>
      <c r="K132" s="9">
        <v>25.796706</v>
      </c>
      <c r="L132" s="9">
        <v>82.488899</v>
      </c>
      <c r="M132" s="9">
        <v>89.4</v>
      </c>
      <c r="N132" s="15"/>
      <c r="O132" s="17"/>
      <c r="P132" s="39"/>
      <c r="Q132" s="11" t="s">
        <v>430</v>
      </c>
      <c r="R132" s="11" t="s">
        <v>431</v>
      </c>
      <c r="S132" s="11">
        <v>89.4</v>
      </c>
      <c r="T132" s="4"/>
      <c r="U132" s="4"/>
      <c r="V132" s="4"/>
      <c r="W132" s="4"/>
      <c r="X132" s="4"/>
      <c r="Y132" s="4"/>
      <c r="Z132" s="4"/>
    </row>
    <row r="133">
      <c r="A133" s="8">
        <v>121.0</v>
      </c>
      <c r="B133" s="14"/>
      <c r="C133" s="10" t="s">
        <v>432</v>
      </c>
      <c r="D133" s="10">
        <v>4.0</v>
      </c>
      <c r="E133" s="10" t="s">
        <v>281</v>
      </c>
      <c r="F133" s="10">
        <v>63.36</v>
      </c>
      <c r="G133" s="1"/>
      <c r="H133" s="14"/>
      <c r="I133" s="9">
        <v>26.260473</v>
      </c>
      <c r="J133" s="9">
        <v>82.238053</v>
      </c>
      <c r="K133" s="9">
        <v>25.335649</v>
      </c>
      <c r="L133" s="9">
        <v>83.007629</v>
      </c>
      <c r="M133" s="9">
        <v>152.0</v>
      </c>
      <c r="N133" s="15"/>
      <c r="O133" s="17"/>
      <c r="P133" s="17"/>
      <c r="Q133" s="11" t="s">
        <v>430</v>
      </c>
      <c r="R133" s="11" t="s">
        <v>433</v>
      </c>
      <c r="S133" s="11">
        <v>152.0</v>
      </c>
      <c r="T133" s="4"/>
      <c r="U133" s="4"/>
      <c r="V133" s="4"/>
      <c r="W133" s="4"/>
      <c r="X133" s="4"/>
      <c r="Y133" s="4"/>
      <c r="Z133" s="4"/>
    </row>
    <row r="134">
      <c r="A134" s="8">
        <v>122.0</v>
      </c>
      <c r="B134" s="9" t="s">
        <v>434</v>
      </c>
      <c r="C134" s="10" t="s">
        <v>435</v>
      </c>
      <c r="D134" s="10">
        <v>4.0</v>
      </c>
      <c r="E134" s="10" t="s">
        <v>281</v>
      </c>
      <c r="F134" s="10">
        <v>60.22</v>
      </c>
      <c r="G134" s="1"/>
      <c r="H134" s="9" t="s">
        <v>434</v>
      </c>
      <c r="I134" s="14"/>
      <c r="J134" s="14"/>
      <c r="K134" s="9">
        <v>26.780799</v>
      </c>
      <c r="L134" s="9">
        <v>82.148659</v>
      </c>
      <c r="M134" s="14"/>
      <c r="N134" s="15"/>
      <c r="O134" s="11" t="s">
        <v>434</v>
      </c>
      <c r="P134" s="22"/>
      <c r="Q134" s="11" t="s">
        <v>436</v>
      </c>
      <c r="R134" s="11" t="s">
        <v>437</v>
      </c>
      <c r="S134" s="11">
        <v>62.0</v>
      </c>
      <c r="T134" s="4"/>
      <c r="U134" s="4"/>
      <c r="V134" s="4"/>
      <c r="W134" s="4"/>
      <c r="X134" s="4"/>
      <c r="Y134" s="4"/>
      <c r="Z134" s="4"/>
    </row>
    <row r="135">
      <c r="A135" s="8">
        <v>123.0</v>
      </c>
      <c r="B135" s="14"/>
      <c r="C135" s="10" t="s">
        <v>438</v>
      </c>
      <c r="D135" s="10">
        <v>4.0</v>
      </c>
      <c r="E135" s="10" t="s">
        <v>281</v>
      </c>
      <c r="F135" s="10">
        <v>32.9</v>
      </c>
      <c r="G135" s="1"/>
      <c r="H135" s="14"/>
      <c r="I135" s="9">
        <v>26.90356</v>
      </c>
      <c r="J135" s="9">
        <v>80.962603</v>
      </c>
      <c r="K135" s="9">
        <v>27.502675</v>
      </c>
      <c r="L135" s="9">
        <v>80.833514</v>
      </c>
      <c r="M135" s="14"/>
      <c r="N135" s="15"/>
      <c r="O135" s="17"/>
      <c r="P135" s="11"/>
      <c r="Q135" s="11" t="s">
        <v>439</v>
      </c>
      <c r="R135" s="11" t="s">
        <v>440</v>
      </c>
      <c r="S135" s="11">
        <v>33.0</v>
      </c>
      <c r="T135" s="4"/>
      <c r="U135" s="4"/>
      <c r="V135" s="4"/>
      <c r="W135" s="4"/>
      <c r="X135" s="4"/>
      <c r="Y135" s="4"/>
      <c r="Z135" s="4"/>
    </row>
    <row r="136">
      <c r="A136" s="8">
        <v>124.0</v>
      </c>
      <c r="B136" s="9" t="s">
        <v>441</v>
      </c>
      <c r="C136" s="10" t="s">
        <v>442</v>
      </c>
      <c r="D136" s="10">
        <v>4.0</v>
      </c>
      <c r="E136" s="10" t="s">
        <v>281</v>
      </c>
      <c r="F136" s="10">
        <v>32.17</v>
      </c>
      <c r="G136" s="1"/>
      <c r="H136" s="9" t="s">
        <v>441</v>
      </c>
      <c r="I136" s="9">
        <v>25.43813</v>
      </c>
      <c r="J136" s="9">
        <v>81.8338</v>
      </c>
      <c r="K136" s="9">
        <v>25.657911</v>
      </c>
      <c r="L136" s="9">
        <v>82.190298</v>
      </c>
      <c r="M136" s="9">
        <v>28.1</v>
      </c>
      <c r="N136" s="15"/>
      <c r="O136" s="11" t="s">
        <v>441</v>
      </c>
      <c r="P136" s="11"/>
      <c r="Q136" s="11" t="s">
        <v>443</v>
      </c>
      <c r="R136" s="11" t="s">
        <v>444</v>
      </c>
      <c r="S136" s="11">
        <v>28.1</v>
      </c>
      <c r="T136" s="4"/>
      <c r="U136" s="4"/>
      <c r="V136" s="4"/>
      <c r="W136" s="4"/>
      <c r="X136" s="4"/>
      <c r="Y136" s="4"/>
      <c r="Z136" s="4"/>
    </row>
    <row r="137">
      <c r="A137" s="8">
        <v>125.0</v>
      </c>
      <c r="B137" s="9" t="s">
        <v>445</v>
      </c>
      <c r="C137" s="10" t="s">
        <v>446</v>
      </c>
      <c r="D137" s="10">
        <v>4.0</v>
      </c>
      <c r="E137" s="10" t="s">
        <v>281</v>
      </c>
      <c r="F137" s="10">
        <v>53.95</v>
      </c>
      <c r="G137" s="1"/>
      <c r="H137" s="9" t="s">
        <v>445</v>
      </c>
      <c r="I137" s="9">
        <v>29.001856</v>
      </c>
      <c r="J137" s="9">
        <v>77.767967</v>
      </c>
      <c r="K137" s="14"/>
      <c r="L137" s="14"/>
      <c r="M137" s="9">
        <v>118.0</v>
      </c>
      <c r="N137" s="15"/>
      <c r="O137" s="11" t="s">
        <v>445</v>
      </c>
      <c r="P137" s="11"/>
      <c r="Q137" s="11" t="s">
        <v>447</v>
      </c>
      <c r="R137" s="11" t="s">
        <v>448</v>
      </c>
      <c r="S137" s="11">
        <v>118.0</v>
      </c>
      <c r="T137" s="4"/>
      <c r="U137" s="4"/>
      <c r="V137" s="4"/>
      <c r="W137" s="4"/>
      <c r="X137" s="4"/>
      <c r="Y137" s="4"/>
      <c r="Z137" s="4"/>
    </row>
    <row r="138">
      <c r="A138" s="8">
        <v>126.0</v>
      </c>
      <c r="B138" s="9" t="s">
        <v>417</v>
      </c>
      <c r="C138" s="10" t="s">
        <v>449</v>
      </c>
      <c r="D138" s="10">
        <v>2.0</v>
      </c>
      <c r="E138" s="10" t="s">
        <v>281</v>
      </c>
      <c r="F138" s="10">
        <v>133.28</v>
      </c>
      <c r="G138" s="1"/>
      <c r="H138" s="9" t="s">
        <v>417</v>
      </c>
      <c r="I138" s="9">
        <v>26.208677</v>
      </c>
      <c r="J138" s="9">
        <v>81.21863</v>
      </c>
      <c r="K138" s="9">
        <v>25.617015</v>
      </c>
      <c r="L138" s="9">
        <v>80.524975</v>
      </c>
      <c r="M138" s="9">
        <v>136.0</v>
      </c>
      <c r="N138" s="15"/>
      <c r="O138" s="11" t="s">
        <v>417</v>
      </c>
      <c r="P138" s="11"/>
      <c r="Q138" s="11" t="s">
        <v>450</v>
      </c>
      <c r="R138" s="11" t="s">
        <v>451</v>
      </c>
      <c r="S138" s="11">
        <v>136.0</v>
      </c>
      <c r="T138" s="4"/>
      <c r="U138" s="4"/>
      <c r="V138" s="4"/>
      <c r="W138" s="4"/>
      <c r="X138" s="4"/>
      <c r="Y138" s="4"/>
      <c r="Z138" s="4"/>
    </row>
    <row r="139">
      <c r="A139" s="8">
        <v>127.0</v>
      </c>
      <c r="B139" s="9" t="s">
        <v>40</v>
      </c>
      <c r="C139" s="10" t="s">
        <v>452</v>
      </c>
      <c r="D139" s="10">
        <v>2.0</v>
      </c>
      <c r="E139" s="10" t="s">
        <v>281</v>
      </c>
      <c r="F139" s="10">
        <v>65.87</v>
      </c>
      <c r="G139" s="1"/>
      <c r="H139" s="9" t="s">
        <v>40</v>
      </c>
      <c r="I139" s="9">
        <v>26.463707</v>
      </c>
      <c r="J139" s="9">
        <v>80.246719</v>
      </c>
      <c r="K139" s="9">
        <v>26.957161</v>
      </c>
      <c r="L139" s="9">
        <v>82.862116</v>
      </c>
      <c r="M139" s="9">
        <v>79.0</v>
      </c>
      <c r="N139" s="15"/>
      <c r="O139" s="11" t="s">
        <v>40</v>
      </c>
      <c r="P139" s="11"/>
      <c r="Q139" s="11" t="s">
        <v>453</v>
      </c>
      <c r="R139" s="11" t="s">
        <v>454</v>
      </c>
      <c r="S139" s="11">
        <v>79.0</v>
      </c>
      <c r="T139" s="4"/>
      <c r="U139" s="4"/>
      <c r="V139" s="4"/>
      <c r="W139" s="4"/>
      <c r="X139" s="4"/>
      <c r="Y139" s="4"/>
      <c r="Z139" s="4"/>
    </row>
    <row r="140">
      <c r="A140" s="8">
        <v>128.0</v>
      </c>
      <c r="B140" s="14"/>
      <c r="C140" s="10" t="s">
        <v>455</v>
      </c>
      <c r="D140" s="10">
        <v>4.0</v>
      </c>
      <c r="E140" s="10" t="s">
        <v>281</v>
      </c>
      <c r="F140" s="10">
        <v>42.87</v>
      </c>
      <c r="G140" s="1"/>
      <c r="H140" s="14"/>
      <c r="I140" s="9">
        <v>29.481151</v>
      </c>
      <c r="J140" s="9">
        <v>77.290134</v>
      </c>
      <c r="K140" s="9">
        <v>29.382152</v>
      </c>
      <c r="L140" s="9">
        <v>77.800136</v>
      </c>
      <c r="M140" s="9">
        <v>39.7</v>
      </c>
      <c r="N140" s="15"/>
      <c r="O140" s="17"/>
      <c r="P140" s="17"/>
      <c r="Q140" s="12" t="s">
        <v>456</v>
      </c>
      <c r="R140" s="11" t="s">
        <v>457</v>
      </c>
      <c r="S140" s="11">
        <v>39.7</v>
      </c>
      <c r="T140" s="4"/>
      <c r="U140" s="4"/>
      <c r="V140" s="4"/>
      <c r="W140" s="4"/>
      <c r="X140" s="4"/>
      <c r="Y140" s="4"/>
      <c r="Z140" s="4"/>
    </row>
    <row r="141">
      <c r="A141" s="8">
        <v>129.0</v>
      </c>
      <c r="B141" s="14"/>
      <c r="C141" s="10" t="s">
        <v>458</v>
      </c>
      <c r="D141" s="10">
        <v>6.0</v>
      </c>
      <c r="E141" s="10" t="s">
        <v>281</v>
      </c>
      <c r="F141" s="10">
        <v>179.5</v>
      </c>
      <c r="G141" s="1"/>
      <c r="H141" s="14"/>
      <c r="I141" s="9">
        <v>28.783393</v>
      </c>
      <c r="J141" s="9">
        <v>77.427237</v>
      </c>
      <c r="K141" s="14"/>
      <c r="L141" s="14"/>
      <c r="M141" s="9">
        <v>209.0</v>
      </c>
      <c r="N141" s="15"/>
      <c r="O141" s="17"/>
      <c r="P141" s="11"/>
      <c r="Q141" s="11" t="s">
        <v>459</v>
      </c>
      <c r="R141" s="11" t="s">
        <v>460</v>
      </c>
      <c r="S141" s="11">
        <v>209.0</v>
      </c>
      <c r="T141" s="4"/>
      <c r="U141" s="4"/>
      <c r="V141" s="4"/>
      <c r="W141" s="4"/>
      <c r="X141" s="4"/>
      <c r="Y141" s="4"/>
      <c r="Z141" s="4"/>
    </row>
    <row r="142">
      <c r="A142" s="8">
        <v>130.0</v>
      </c>
      <c r="B142" s="14"/>
      <c r="C142" s="10" t="s">
        <v>461</v>
      </c>
      <c r="D142" s="10">
        <v>4.0</v>
      </c>
      <c r="E142" s="10" t="s">
        <v>281</v>
      </c>
      <c r="F142" s="10">
        <v>65.38</v>
      </c>
      <c r="G142" s="1"/>
      <c r="H142" s="14"/>
      <c r="I142" s="9">
        <v>26.746818</v>
      </c>
      <c r="J142" s="9">
        <v>83.375133</v>
      </c>
      <c r="K142" s="14"/>
      <c r="L142" s="14"/>
      <c r="M142" s="9">
        <v>68.0</v>
      </c>
      <c r="N142" s="15"/>
      <c r="O142" s="17"/>
      <c r="P142" s="11"/>
      <c r="Q142" s="11" t="s">
        <v>462</v>
      </c>
      <c r="R142" s="11" t="s">
        <v>463</v>
      </c>
      <c r="S142" s="11">
        <v>68.0</v>
      </c>
      <c r="T142" s="4"/>
      <c r="U142" s="4"/>
      <c r="V142" s="4"/>
      <c r="W142" s="4"/>
      <c r="X142" s="4"/>
      <c r="Y142" s="4"/>
      <c r="Z142" s="4"/>
    </row>
    <row r="143">
      <c r="A143" s="8">
        <v>131.0</v>
      </c>
      <c r="B143" s="14"/>
      <c r="C143" s="10" t="s">
        <v>464</v>
      </c>
      <c r="D143" s="10">
        <v>4.0</v>
      </c>
      <c r="E143" s="10" t="s">
        <v>281</v>
      </c>
      <c r="F143" s="10">
        <v>34.0</v>
      </c>
      <c r="G143" s="1"/>
      <c r="H143" s="14"/>
      <c r="I143" s="14">
        <v>25.335649</v>
      </c>
      <c r="J143" s="14">
        <v>83.007629</v>
      </c>
      <c r="K143" s="14"/>
      <c r="L143" s="14"/>
      <c r="M143" s="9">
        <v>40.0</v>
      </c>
      <c r="N143" s="4"/>
      <c r="O143" s="17"/>
      <c r="P143" s="11"/>
      <c r="Q143" s="11" t="s">
        <v>465</v>
      </c>
      <c r="R143" s="11" t="s">
        <v>466</v>
      </c>
      <c r="S143" s="11">
        <v>40.0</v>
      </c>
      <c r="T143" s="4"/>
      <c r="U143" s="4"/>
      <c r="V143" s="4"/>
      <c r="W143" s="4"/>
      <c r="X143" s="4"/>
      <c r="Y143" s="4"/>
      <c r="Z143" s="4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43">
        <v>827.633</v>
      </c>
      <c r="T144" s="4"/>
      <c r="U144" s="4"/>
      <c r="V144" s="4"/>
      <c r="W144" s="4"/>
      <c r="X144" s="4"/>
      <c r="Y144" s="4"/>
      <c r="Z144" s="4"/>
    </row>
    <row r="145">
      <c r="A145" s="1" t="s">
        <v>3</v>
      </c>
      <c r="B145" s="3" t="s">
        <v>4</v>
      </c>
      <c r="C145" s="6" t="s">
        <v>5</v>
      </c>
      <c r="D145" s="6" t="s">
        <v>6</v>
      </c>
      <c r="E145" s="6" t="s">
        <v>7</v>
      </c>
      <c r="F145" s="6" t="s">
        <v>8</v>
      </c>
      <c r="G145" s="1"/>
      <c r="H145" s="3" t="s">
        <v>4</v>
      </c>
      <c r="I145" s="3" t="s">
        <v>9</v>
      </c>
      <c r="J145" s="3" t="s">
        <v>10</v>
      </c>
      <c r="K145" s="3" t="s">
        <v>11</v>
      </c>
      <c r="L145" s="3" t="s">
        <v>12</v>
      </c>
      <c r="M145" s="7" t="s">
        <v>13</v>
      </c>
      <c r="N145" s="4"/>
      <c r="O145" s="5" t="s">
        <v>4</v>
      </c>
      <c r="P145" s="5" t="s">
        <v>14</v>
      </c>
      <c r="Q145" s="5" t="s">
        <v>15</v>
      </c>
      <c r="R145" s="5" t="s">
        <v>16</v>
      </c>
      <c r="S145" s="5" t="s">
        <v>17</v>
      </c>
      <c r="T145" s="4"/>
      <c r="U145" s="4"/>
      <c r="V145" s="4"/>
      <c r="W145" s="4"/>
      <c r="X145" s="4"/>
      <c r="Y145" s="4"/>
      <c r="Z145" s="4"/>
    </row>
    <row r="146">
      <c r="A146" s="8">
        <v>132.0</v>
      </c>
      <c r="B146" s="9" t="s">
        <v>467</v>
      </c>
      <c r="C146" s="10" t="s">
        <v>468</v>
      </c>
      <c r="D146" s="10">
        <v>6.0</v>
      </c>
      <c r="E146" s="10" t="s">
        <v>469</v>
      </c>
      <c r="F146" s="10">
        <v>111.4</v>
      </c>
      <c r="G146" s="8"/>
      <c r="H146" s="9" t="s">
        <v>467</v>
      </c>
      <c r="I146" s="14"/>
      <c r="J146" s="14"/>
      <c r="K146" s="9">
        <v>22.34309</v>
      </c>
      <c r="L146" s="9">
        <v>87.301288</v>
      </c>
      <c r="M146" s="9"/>
      <c r="N146" s="8"/>
      <c r="O146" s="11" t="s">
        <v>467</v>
      </c>
      <c r="P146" s="11" t="s">
        <v>204</v>
      </c>
      <c r="Q146" s="11" t="s">
        <v>470</v>
      </c>
      <c r="R146" s="11" t="s">
        <v>471</v>
      </c>
      <c r="S146" s="11">
        <v>124.0</v>
      </c>
      <c r="T146" s="4"/>
      <c r="U146" s="4"/>
      <c r="V146" s="4"/>
      <c r="W146" s="4"/>
      <c r="X146" s="4"/>
      <c r="Y146" s="4"/>
      <c r="Z146" s="4"/>
    </row>
    <row r="147">
      <c r="A147" s="8">
        <v>133.0</v>
      </c>
      <c r="B147" s="14"/>
      <c r="C147" s="10" t="s">
        <v>472</v>
      </c>
      <c r="D147" s="10">
        <v>4.0</v>
      </c>
      <c r="E147" s="10" t="s">
        <v>469</v>
      </c>
      <c r="F147" s="10">
        <v>119.3</v>
      </c>
      <c r="G147" s="8"/>
      <c r="H147" s="14"/>
      <c r="I147" s="14"/>
      <c r="J147" s="14"/>
      <c r="K147" s="9">
        <v>22.34309</v>
      </c>
      <c r="L147" s="9">
        <v>87.301288</v>
      </c>
      <c r="M147" s="9"/>
      <c r="N147" s="8"/>
      <c r="O147" s="17"/>
      <c r="P147" s="11" t="s">
        <v>204</v>
      </c>
      <c r="Q147" s="11" t="s">
        <v>473</v>
      </c>
      <c r="R147" s="11" t="s">
        <v>474</v>
      </c>
      <c r="S147" s="11">
        <v>119.0</v>
      </c>
      <c r="T147" s="4"/>
      <c r="U147" s="4"/>
      <c r="V147" s="4"/>
      <c r="W147" s="4"/>
      <c r="X147" s="4"/>
      <c r="Y147" s="4"/>
      <c r="Z147" s="4"/>
    </row>
    <row r="148">
      <c r="A148" s="8">
        <v>134.0</v>
      </c>
      <c r="B148" s="14"/>
      <c r="C148" s="10" t="s">
        <v>475</v>
      </c>
      <c r="D148" s="10">
        <v>4.0</v>
      </c>
      <c r="E148" s="10" t="s">
        <v>469</v>
      </c>
      <c r="F148" s="10">
        <v>65.0</v>
      </c>
      <c r="G148" s="8"/>
      <c r="H148" s="14"/>
      <c r="I148" s="9">
        <v>23.196377</v>
      </c>
      <c r="J148" s="9">
        <v>88.00314</v>
      </c>
      <c r="K148" s="9">
        <v>23.443013</v>
      </c>
      <c r="L148" s="9">
        <v>87.458683</v>
      </c>
      <c r="M148" s="9"/>
      <c r="N148" s="8"/>
      <c r="O148" s="17"/>
      <c r="P148" s="11" t="s">
        <v>138</v>
      </c>
      <c r="Q148" s="11" t="s">
        <v>476</v>
      </c>
      <c r="R148" s="11" t="s">
        <v>477</v>
      </c>
      <c r="S148" s="11">
        <v>63.0</v>
      </c>
      <c r="T148" s="4"/>
      <c r="U148" s="4"/>
      <c r="V148" s="4"/>
      <c r="W148" s="4"/>
      <c r="X148" s="4"/>
      <c r="Y148" s="4"/>
      <c r="Z148" s="4"/>
    </row>
    <row r="149">
      <c r="A149" s="8">
        <v>135.0</v>
      </c>
      <c r="B149" s="9" t="s">
        <v>135</v>
      </c>
      <c r="C149" s="10" t="s">
        <v>478</v>
      </c>
      <c r="D149" s="10">
        <v>4.0</v>
      </c>
      <c r="E149" s="10" t="s">
        <v>469</v>
      </c>
      <c r="F149" s="10">
        <v>64.54</v>
      </c>
      <c r="G149" s="8"/>
      <c r="H149" s="9" t="s">
        <v>135</v>
      </c>
      <c r="I149" s="9">
        <v>23.196377</v>
      </c>
      <c r="J149" s="9">
        <v>88.00314</v>
      </c>
      <c r="K149" s="14"/>
      <c r="L149" s="14"/>
      <c r="M149" s="9"/>
      <c r="N149" s="8"/>
      <c r="O149" s="11" t="s">
        <v>135</v>
      </c>
      <c r="P149" s="11" t="s">
        <v>284</v>
      </c>
      <c r="Q149" s="11" t="s">
        <v>476</v>
      </c>
      <c r="R149" s="11" t="s">
        <v>479</v>
      </c>
      <c r="S149" s="11">
        <v>74.3</v>
      </c>
      <c r="T149" s="4"/>
      <c r="U149" s="4"/>
      <c r="V149" s="4"/>
      <c r="W149" s="4"/>
      <c r="X149" s="4"/>
      <c r="Y149" s="4"/>
      <c r="Z149" s="4"/>
    </row>
    <row r="150">
      <c r="A150" s="8">
        <v>136.0</v>
      </c>
      <c r="B150" s="14"/>
      <c r="C150" s="10" t="s">
        <v>480</v>
      </c>
      <c r="D150" s="10">
        <v>4.0</v>
      </c>
      <c r="E150" s="10" t="s">
        <v>469</v>
      </c>
      <c r="F150" s="10">
        <v>61.6</v>
      </c>
      <c r="G150" s="8"/>
      <c r="H150" s="14"/>
      <c r="I150" s="9">
        <v>25.873962</v>
      </c>
      <c r="J150" s="9">
        <v>87.839125</v>
      </c>
      <c r="K150" s="14"/>
      <c r="L150" s="14"/>
      <c r="M150" s="9"/>
      <c r="N150" s="8"/>
      <c r="O150" s="17"/>
      <c r="P150" s="11" t="s">
        <v>481</v>
      </c>
      <c r="Q150" s="11" t="s">
        <v>482</v>
      </c>
      <c r="R150" s="11" t="s">
        <v>483</v>
      </c>
      <c r="S150" s="11">
        <v>62.0</v>
      </c>
      <c r="T150" s="4"/>
      <c r="U150" s="4"/>
      <c r="V150" s="4"/>
      <c r="W150" s="4"/>
      <c r="X150" s="4"/>
      <c r="Y150" s="4"/>
      <c r="Z150" s="4"/>
    </row>
    <row r="151">
      <c r="A151" s="8">
        <v>137.0</v>
      </c>
      <c r="B151" s="14"/>
      <c r="C151" s="10" t="s">
        <v>484</v>
      </c>
      <c r="D151" s="10">
        <v>4.0</v>
      </c>
      <c r="E151" s="10" t="s">
        <v>469</v>
      </c>
      <c r="F151" s="10">
        <v>70.7</v>
      </c>
      <c r="G151" s="8"/>
      <c r="H151" s="14"/>
      <c r="I151" s="9">
        <v>26.716413</v>
      </c>
      <c r="J151" s="9">
        <v>88.430992</v>
      </c>
      <c r="K151" s="9">
        <v>22.592056</v>
      </c>
      <c r="L151" s="9">
        <v>88.418822</v>
      </c>
      <c r="M151" s="9"/>
      <c r="N151" s="8"/>
      <c r="O151" s="17"/>
      <c r="P151" s="11" t="s">
        <v>481</v>
      </c>
      <c r="Q151" s="11" t="s">
        <v>485</v>
      </c>
      <c r="R151" s="11" t="s">
        <v>483</v>
      </c>
      <c r="S151" s="11">
        <v>74.0</v>
      </c>
      <c r="T151" s="4"/>
      <c r="U151" s="4"/>
      <c r="V151" s="4"/>
      <c r="W151" s="4"/>
      <c r="X151" s="4"/>
      <c r="Y151" s="4"/>
      <c r="Z151" s="4"/>
    </row>
    <row r="152">
      <c r="A152" s="21">
        <v>138.0</v>
      </c>
      <c r="B152" s="9" t="s">
        <v>486</v>
      </c>
      <c r="C152" s="10" t="s">
        <v>487</v>
      </c>
      <c r="D152" s="10">
        <v>4.0</v>
      </c>
      <c r="E152" s="10" t="s">
        <v>469</v>
      </c>
      <c r="F152" s="10">
        <v>96.28</v>
      </c>
      <c r="G152" s="8"/>
      <c r="H152" s="9" t="s">
        <v>486</v>
      </c>
      <c r="I152" s="14"/>
      <c r="J152" s="14"/>
      <c r="K152" s="9">
        <v>26.595289</v>
      </c>
      <c r="L152" s="9">
        <v>88.286225</v>
      </c>
      <c r="M152" s="14"/>
      <c r="N152" s="8"/>
      <c r="O152" s="11" t="s">
        <v>486</v>
      </c>
      <c r="P152" s="11" t="s">
        <v>481</v>
      </c>
      <c r="Q152" s="11" t="s">
        <v>488</v>
      </c>
      <c r="R152" s="11" t="s">
        <v>489</v>
      </c>
      <c r="S152" s="11">
        <v>96.28</v>
      </c>
      <c r="T152" s="4"/>
      <c r="U152" s="4"/>
      <c r="V152" s="4"/>
      <c r="W152" s="4"/>
      <c r="X152" s="4"/>
      <c r="Y152" s="4"/>
      <c r="Z152" s="4"/>
    </row>
    <row r="153">
      <c r="A153" s="8">
        <v>139.0</v>
      </c>
      <c r="B153" s="14"/>
      <c r="C153" s="10" t="s">
        <v>490</v>
      </c>
      <c r="D153" s="10">
        <v>4.0</v>
      </c>
      <c r="E153" s="10" t="s">
        <v>469</v>
      </c>
      <c r="F153" s="10">
        <v>27.0</v>
      </c>
      <c r="G153" s="8"/>
      <c r="H153" s="14"/>
      <c r="I153" s="14"/>
      <c r="J153" s="14"/>
      <c r="K153" s="14"/>
      <c r="L153" s="14"/>
      <c r="M153" s="9"/>
      <c r="N153" s="15"/>
      <c r="O153" s="17"/>
      <c r="P153" s="11" t="s">
        <v>481</v>
      </c>
      <c r="Q153" s="11" t="s">
        <v>491</v>
      </c>
      <c r="R153" s="11" t="s">
        <v>492</v>
      </c>
      <c r="S153" s="11">
        <v>37.0</v>
      </c>
      <c r="T153" s="4"/>
      <c r="U153" s="4"/>
      <c r="V153" s="4"/>
      <c r="W153" s="4"/>
      <c r="X153" s="4"/>
      <c r="Y153" s="4"/>
      <c r="Z153" s="4"/>
    </row>
    <row r="154">
      <c r="A154" s="8">
        <v>140.0</v>
      </c>
      <c r="B154" s="9" t="s">
        <v>196</v>
      </c>
      <c r="C154" s="10" t="s">
        <v>493</v>
      </c>
      <c r="D154" s="10">
        <v>4.0</v>
      </c>
      <c r="E154" s="10" t="s">
        <v>469</v>
      </c>
      <c r="F154" s="10">
        <v>55.55</v>
      </c>
      <c r="G154" s="8"/>
      <c r="H154" s="9" t="s">
        <v>196</v>
      </c>
      <c r="I154" s="9">
        <v>22.311758</v>
      </c>
      <c r="J154" s="9">
        <v>86.883144</v>
      </c>
      <c r="K154" s="14"/>
      <c r="L154" s="14"/>
      <c r="M154" s="9"/>
      <c r="N154" s="8"/>
      <c r="O154" s="11" t="s">
        <v>196</v>
      </c>
      <c r="P154" s="11" t="s">
        <v>212</v>
      </c>
      <c r="Q154" s="11" t="s">
        <v>494</v>
      </c>
      <c r="R154" s="11" t="s">
        <v>495</v>
      </c>
      <c r="S154" s="11">
        <v>44.0</v>
      </c>
      <c r="T154" s="4"/>
      <c r="U154" s="4"/>
      <c r="V154" s="4"/>
      <c r="W154" s="4"/>
      <c r="X154" s="4"/>
      <c r="Y154" s="4"/>
      <c r="Z154" s="4"/>
    </row>
    <row r="155">
      <c r="A155" s="8">
        <v>141.0</v>
      </c>
      <c r="B155" s="14"/>
      <c r="C155" s="10" t="s">
        <v>496</v>
      </c>
      <c r="D155" s="10">
        <v>4.0</v>
      </c>
      <c r="E155" s="10" t="s">
        <v>469</v>
      </c>
      <c r="F155" s="10">
        <v>53.0</v>
      </c>
      <c r="G155" s="8"/>
      <c r="H155" s="14"/>
      <c r="I155" s="9">
        <v>22.440431</v>
      </c>
      <c r="J155" s="9">
        <v>87.819157</v>
      </c>
      <c r="K155" s="9">
        <v>22.028124</v>
      </c>
      <c r="L155" s="9">
        <v>88.063265</v>
      </c>
      <c r="M155" s="9"/>
      <c r="N155" s="8"/>
      <c r="O155" s="17"/>
      <c r="P155" s="11" t="s">
        <v>497</v>
      </c>
      <c r="Q155" s="11" t="s">
        <v>498</v>
      </c>
      <c r="R155" s="11" t="s">
        <v>499</v>
      </c>
      <c r="S155" s="11">
        <v>55.0</v>
      </c>
      <c r="T155" s="4"/>
      <c r="U155" s="4"/>
      <c r="V155" s="4"/>
      <c r="W155" s="4"/>
      <c r="X155" s="4"/>
      <c r="Y155" s="4"/>
      <c r="Z155" s="4"/>
    </row>
    <row r="156">
      <c r="A156" s="8">
        <v>142.0</v>
      </c>
      <c r="B156" s="9" t="s">
        <v>500</v>
      </c>
      <c r="C156" s="10" t="s">
        <v>501</v>
      </c>
      <c r="D156" s="10">
        <v>4.0</v>
      </c>
      <c r="E156" s="10" t="s">
        <v>469</v>
      </c>
      <c r="F156" s="10">
        <v>100.2</v>
      </c>
      <c r="G156" s="8"/>
      <c r="H156" s="9" t="s">
        <v>500</v>
      </c>
      <c r="I156" s="14"/>
      <c r="J156" s="14"/>
      <c r="K156" s="14"/>
      <c r="L156" s="14"/>
      <c r="M156" s="9"/>
      <c r="N156" s="40"/>
      <c r="O156" s="11" t="s">
        <v>500</v>
      </c>
      <c r="P156" s="11" t="s">
        <v>502</v>
      </c>
      <c r="Q156" s="11" t="s">
        <v>503</v>
      </c>
      <c r="R156" s="11" t="s">
        <v>504</v>
      </c>
      <c r="S156" s="11">
        <v>112.0</v>
      </c>
      <c r="T156" s="4"/>
      <c r="U156" s="4"/>
      <c r="V156" s="4"/>
      <c r="W156" s="4"/>
      <c r="X156" s="4"/>
      <c r="Y156" s="4"/>
      <c r="Z156" s="4"/>
    </row>
    <row r="157">
      <c r="A157" s="8">
        <v>143.0</v>
      </c>
      <c r="B157" s="14"/>
      <c r="C157" s="10" t="s">
        <v>505</v>
      </c>
      <c r="D157" s="10">
        <v>4.0</v>
      </c>
      <c r="E157" s="10" t="s">
        <v>469</v>
      </c>
      <c r="F157" s="10">
        <v>50.29</v>
      </c>
      <c r="G157" s="8"/>
      <c r="H157" s="14"/>
      <c r="I157" s="14"/>
      <c r="J157" s="14"/>
      <c r="K157" s="14"/>
      <c r="L157" s="14"/>
      <c r="M157" s="9"/>
      <c r="N157" s="40"/>
      <c r="O157" s="17"/>
      <c r="P157" s="11" t="s">
        <v>502</v>
      </c>
      <c r="Q157" s="11" t="s">
        <v>506</v>
      </c>
      <c r="R157" s="11" t="s">
        <v>507</v>
      </c>
      <c r="S157" s="11">
        <v>45.0</v>
      </c>
      <c r="T157" s="4"/>
      <c r="U157" s="4"/>
      <c r="V157" s="4"/>
      <c r="W157" s="4"/>
      <c r="X157" s="4"/>
      <c r="Y157" s="4"/>
      <c r="Z157" s="4"/>
    </row>
    <row r="158">
      <c r="A158" s="8">
        <v>144.0</v>
      </c>
      <c r="B158" s="9" t="s">
        <v>500</v>
      </c>
      <c r="C158" s="10" t="s">
        <v>508</v>
      </c>
      <c r="D158" s="10">
        <v>4.0</v>
      </c>
      <c r="E158" s="10" t="s">
        <v>469</v>
      </c>
      <c r="F158" s="10">
        <v>100.6</v>
      </c>
      <c r="G158" s="8"/>
      <c r="H158" s="9" t="s">
        <v>500</v>
      </c>
      <c r="I158" s="14"/>
      <c r="J158" s="14"/>
      <c r="K158" s="9">
        <v>24.786898</v>
      </c>
      <c r="L158" s="9">
        <v>87.909906</v>
      </c>
      <c r="M158" s="9"/>
      <c r="N158" s="8"/>
      <c r="O158" s="11" t="s">
        <v>500</v>
      </c>
      <c r="P158" s="11" t="s">
        <v>502</v>
      </c>
      <c r="Q158" s="11" t="s">
        <v>509</v>
      </c>
      <c r="R158" s="11" t="s">
        <v>510</v>
      </c>
      <c r="S158" s="11">
        <v>94.0</v>
      </c>
      <c r="T158" s="4"/>
      <c r="U158" s="4"/>
      <c r="V158" s="4"/>
      <c r="W158" s="4"/>
      <c r="X158" s="4"/>
      <c r="Y158" s="4"/>
      <c r="Z158" s="4"/>
    </row>
    <row r="159">
      <c r="A159" s="8">
        <v>145.0</v>
      </c>
      <c r="B159" s="9" t="s">
        <v>511</v>
      </c>
      <c r="C159" s="10" t="s">
        <v>512</v>
      </c>
      <c r="D159" s="10">
        <v>4.0</v>
      </c>
      <c r="E159" s="10" t="s">
        <v>469</v>
      </c>
      <c r="F159" s="10">
        <v>83.78</v>
      </c>
      <c r="G159" s="8"/>
      <c r="H159" s="9" t="s">
        <v>511</v>
      </c>
      <c r="I159" s="9">
        <v>26.645754</v>
      </c>
      <c r="J159" s="9">
        <v>88.405009</v>
      </c>
      <c r="K159" s="9">
        <v>26.588905</v>
      </c>
      <c r="L159" s="9">
        <v>89.006972</v>
      </c>
      <c r="M159" s="9"/>
      <c r="N159" s="8"/>
      <c r="O159" s="11" t="s">
        <v>511</v>
      </c>
      <c r="P159" s="11" t="s">
        <v>481</v>
      </c>
      <c r="Q159" s="11" t="s">
        <v>513</v>
      </c>
      <c r="R159" s="11" t="s">
        <v>514</v>
      </c>
      <c r="S159" s="11">
        <v>83.0</v>
      </c>
      <c r="T159" s="4"/>
      <c r="U159" s="4"/>
      <c r="V159" s="4"/>
      <c r="W159" s="4"/>
      <c r="X159" s="4"/>
      <c r="Y159" s="4"/>
      <c r="Z159" s="4"/>
    </row>
    <row r="160">
      <c r="A160" s="8">
        <v>146.0</v>
      </c>
      <c r="B160" s="9" t="s">
        <v>18</v>
      </c>
      <c r="C160" s="10" t="s">
        <v>515</v>
      </c>
      <c r="D160" s="10">
        <v>4.0</v>
      </c>
      <c r="E160" s="10" t="s">
        <v>469</v>
      </c>
      <c r="F160" s="10">
        <v>10.31</v>
      </c>
      <c r="G160" s="8"/>
      <c r="H160" s="9" t="s">
        <v>18</v>
      </c>
      <c r="I160" s="14"/>
      <c r="J160" s="14"/>
      <c r="K160" s="14"/>
      <c r="L160" s="14"/>
      <c r="M160" s="9"/>
      <c r="N160" s="8"/>
      <c r="O160" s="11" t="s">
        <v>18</v>
      </c>
      <c r="P160" s="11" t="s">
        <v>481</v>
      </c>
      <c r="Q160" s="13" t="s">
        <v>516</v>
      </c>
      <c r="R160" s="11" t="s">
        <v>517</v>
      </c>
      <c r="S160" s="11">
        <v>10.0</v>
      </c>
      <c r="T160" s="4"/>
      <c r="U160" s="4"/>
      <c r="V160" s="4"/>
      <c r="W160" s="4"/>
      <c r="X160" s="4"/>
      <c r="Y160" s="4"/>
      <c r="Z160" s="4"/>
    </row>
    <row r="161">
      <c r="A161" s="8">
        <v>147.0</v>
      </c>
      <c r="B161" s="9" t="s">
        <v>500</v>
      </c>
      <c r="C161" s="10" t="s">
        <v>518</v>
      </c>
      <c r="D161" s="10">
        <v>4.0</v>
      </c>
      <c r="E161" s="10" t="s">
        <v>469</v>
      </c>
      <c r="F161" s="10">
        <v>78.0</v>
      </c>
      <c r="G161" s="8"/>
      <c r="H161" s="9" t="s">
        <v>500</v>
      </c>
      <c r="I161" s="9">
        <v>22.189484</v>
      </c>
      <c r="J161" s="9">
        <v>88.695512</v>
      </c>
      <c r="K161" s="9">
        <v>24.104493</v>
      </c>
      <c r="L161" s="9">
        <v>88.251064</v>
      </c>
      <c r="M161" s="9"/>
      <c r="N161" s="40"/>
      <c r="O161" s="11" t="s">
        <v>500</v>
      </c>
      <c r="P161" s="11" t="s">
        <v>502</v>
      </c>
      <c r="Q161" s="12" t="s">
        <v>519</v>
      </c>
      <c r="R161" s="12" t="s">
        <v>520</v>
      </c>
      <c r="S161" s="11">
        <v>89.0</v>
      </c>
      <c r="T161" s="4"/>
      <c r="U161" s="4"/>
      <c r="V161" s="4"/>
      <c r="W161" s="4"/>
      <c r="X161" s="4"/>
      <c r="Y161" s="4"/>
      <c r="Z161" s="4"/>
    </row>
    <row r="162">
      <c r="A162" s="8">
        <v>148.0</v>
      </c>
      <c r="B162" s="9" t="s">
        <v>21</v>
      </c>
      <c r="C162" s="10" t="s">
        <v>521</v>
      </c>
      <c r="D162" s="10">
        <v>4.0</v>
      </c>
      <c r="E162" s="10" t="s">
        <v>469</v>
      </c>
      <c r="F162" s="10">
        <v>26.5</v>
      </c>
      <c r="G162" s="8"/>
      <c r="H162" s="9" t="s">
        <v>21</v>
      </c>
      <c r="I162" s="14"/>
      <c r="J162" s="14"/>
      <c r="K162" s="14"/>
      <c r="L162" s="14"/>
      <c r="M162" s="9"/>
      <c r="N162" s="40"/>
      <c r="O162" s="11" t="s">
        <v>21</v>
      </c>
      <c r="P162" s="11" t="s">
        <v>22</v>
      </c>
      <c r="Q162" s="12" t="s">
        <v>522</v>
      </c>
      <c r="R162" s="12" t="s">
        <v>523</v>
      </c>
      <c r="S162" s="11">
        <v>58.0</v>
      </c>
      <c r="T162" s="4"/>
      <c r="U162" s="4"/>
      <c r="V162" s="4"/>
      <c r="W162" s="4"/>
      <c r="X162" s="4"/>
      <c r="Y162" s="4"/>
      <c r="Z162" s="4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41">
        <v>65.53</v>
      </c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C1:F1"/>
    <mergeCell ref="H1:M1"/>
    <mergeCell ref="O1:S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98.25"/>
    <col customWidth="1" min="13" max="13" width="35.13"/>
    <col customWidth="1" min="17" max="17" width="17.0"/>
    <col customWidth="1" min="18" max="18" width="16.88"/>
    <col customWidth="1" min="19" max="19" width="41.63"/>
  </cols>
  <sheetData>
    <row r="1">
      <c r="A1" s="1"/>
      <c r="B1" s="1"/>
      <c r="C1" s="6" t="s">
        <v>0</v>
      </c>
      <c r="G1" s="1"/>
      <c r="H1" s="3" t="s">
        <v>1</v>
      </c>
      <c r="O1" s="5" t="s">
        <v>2</v>
      </c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</row>
    <row r="3">
      <c r="A3" s="8">
        <v>1.0</v>
      </c>
      <c r="B3" s="9" t="s">
        <v>18</v>
      </c>
      <c r="C3" s="10" t="s">
        <v>19</v>
      </c>
      <c r="D3" s="10">
        <v>4.0</v>
      </c>
      <c r="E3" s="10" t="s">
        <v>20</v>
      </c>
      <c r="F3" s="10">
        <v>30.0</v>
      </c>
      <c r="G3" s="8"/>
      <c r="H3" s="9" t="s">
        <v>18</v>
      </c>
      <c r="I3" s="9">
        <v>26.616692</v>
      </c>
      <c r="J3" s="9">
        <v>90.723744</v>
      </c>
      <c r="K3" s="9">
        <v>26.130287</v>
      </c>
      <c r="L3" s="9">
        <v>91.797776</v>
      </c>
      <c r="M3" s="9">
        <v>184.0</v>
      </c>
      <c r="O3" s="11" t="s">
        <v>21</v>
      </c>
      <c r="P3" s="11" t="s">
        <v>22</v>
      </c>
      <c r="Q3" s="42" t="s">
        <v>23</v>
      </c>
      <c r="R3" s="42" t="s">
        <v>24</v>
      </c>
      <c r="S3" s="13">
        <v>70.6</v>
      </c>
    </row>
    <row r="4">
      <c r="A4" s="8">
        <v>2.0</v>
      </c>
      <c r="B4" s="9" t="s">
        <v>21</v>
      </c>
      <c r="C4" s="10" t="s">
        <v>25</v>
      </c>
      <c r="D4" s="10">
        <v>4.0</v>
      </c>
      <c r="E4" s="10" t="s">
        <v>20</v>
      </c>
      <c r="F4" s="10">
        <v>33.0</v>
      </c>
      <c r="G4" s="8"/>
      <c r="H4" s="9" t="s">
        <v>21</v>
      </c>
      <c r="I4" s="9">
        <v>26.616692</v>
      </c>
      <c r="J4" s="9">
        <v>90.723744</v>
      </c>
      <c r="K4" s="9">
        <v>26.130423</v>
      </c>
      <c r="L4" s="9">
        <v>91.797868</v>
      </c>
      <c r="M4" s="9">
        <v>184.0</v>
      </c>
      <c r="O4" s="11" t="s">
        <v>21</v>
      </c>
      <c r="P4" s="11" t="s">
        <v>22</v>
      </c>
      <c r="Q4" s="42" t="s">
        <v>26</v>
      </c>
      <c r="R4" s="42" t="s">
        <v>27</v>
      </c>
      <c r="S4" s="13">
        <v>39.5</v>
      </c>
    </row>
    <row r="5">
      <c r="A5" s="8">
        <v>3.0</v>
      </c>
      <c r="B5" s="9" t="s">
        <v>18</v>
      </c>
      <c r="C5" s="10" t="s">
        <v>28</v>
      </c>
      <c r="D5" s="10">
        <v>4.0</v>
      </c>
      <c r="E5" s="10" t="s">
        <v>20</v>
      </c>
      <c r="F5" s="10">
        <v>30.0</v>
      </c>
      <c r="G5" s="8"/>
      <c r="H5" s="9" t="s">
        <v>18</v>
      </c>
      <c r="I5" s="9">
        <v>26.353363</v>
      </c>
      <c r="J5" s="9">
        <v>91.398366</v>
      </c>
      <c r="K5" s="9">
        <v>27.342642</v>
      </c>
      <c r="L5" s="9">
        <v>95.407409</v>
      </c>
      <c r="M5" s="9">
        <v>514.0</v>
      </c>
      <c r="O5" s="11" t="s">
        <v>18</v>
      </c>
      <c r="P5" s="11" t="s">
        <v>22</v>
      </c>
      <c r="Q5" s="42" t="s">
        <v>29</v>
      </c>
      <c r="R5" s="42" t="s">
        <v>30</v>
      </c>
      <c r="S5" s="13">
        <v>93.0</v>
      </c>
    </row>
    <row r="6">
      <c r="A6" s="8">
        <v>4.0</v>
      </c>
      <c r="B6" s="9" t="s">
        <v>18</v>
      </c>
      <c r="C6" s="10" t="s">
        <v>31</v>
      </c>
      <c r="D6" s="10">
        <v>4.0</v>
      </c>
      <c r="E6" s="10" t="s">
        <v>20</v>
      </c>
      <c r="F6" s="10">
        <v>22.0</v>
      </c>
      <c r="G6" s="8"/>
      <c r="H6" s="9" t="s">
        <v>18</v>
      </c>
      <c r="I6" s="9">
        <v>26.353363</v>
      </c>
      <c r="J6" s="9">
        <v>91.398366</v>
      </c>
      <c r="K6" s="9"/>
      <c r="L6" s="9"/>
      <c r="M6" s="9"/>
      <c r="O6" s="11" t="s">
        <v>18</v>
      </c>
      <c r="P6" s="11" t="s">
        <v>22</v>
      </c>
      <c r="Q6" s="42" t="s">
        <v>32</v>
      </c>
      <c r="R6" s="42" t="s">
        <v>33</v>
      </c>
      <c r="S6" s="11">
        <v>92.0</v>
      </c>
    </row>
    <row r="7">
      <c r="A7" s="8">
        <v>5.0</v>
      </c>
      <c r="B7" s="9" t="s">
        <v>18</v>
      </c>
      <c r="C7" s="10" t="s">
        <v>34</v>
      </c>
      <c r="D7" s="10">
        <v>4.0</v>
      </c>
      <c r="E7" s="10" t="s">
        <v>20</v>
      </c>
      <c r="F7" s="10">
        <v>27.3</v>
      </c>
      <c r="G7" s="8"/>
      <c r="H7" s="9" t="s">
        <v>18</v>
      </c>
      <c r="I7" s="9">
        <v>26.353363</v>
      </c>
      <c r="J7" s="9">
        <v>91.398366</v>
      </c>
      <c r="K7" s="9">
        <v>27.342642</v>
      </c>
      <c r="L7" s="9">
        <v>95.407409</v>
      </c>
      <c r="M7" s="9">
        <v>517.0</v>
      </c>
      <c r="O7" s="11" t="s">
        <v>18</v>
      </c>
      <c r="P7" s="11" t="s">
        <v>22</v>
      </c>
      <c r="Q7" s="42" t="s">
        <v>35</v>
      </c>
      <c r="R7" s="42" t="s">
        <v>36</v>
      </c>
      <c r="S7" s="13">
        <v>50.1</v>
      </c>
    </row>
    <row r="8">
      <c r="A8" s="8">
        <v>6.0</v>
      </c>
      <c r="B8" s="9" t="s">
        <v>22</v>
      </c>
      <c r="C8" s="10" t="s">
        <v>37</v>
      </c>
      <c r="D8" s="10">
        <v>6.0</v>
      </c>
      <c r="E8" s="10" t="s">
        <v>20</v>
      </c>
      <c r="F8" s="10">
        <v>16.448</v>
      </c>
      <c r="G8" s="8"/>
      <c r="H8" s="9" t="s">
        <v>22</v>
      </c>
      <c r="I8" s="9">
        <v>26.11114</v>
      </c>
      <c r="J8" s="9">
        <v>91.68532</v>
      </c>
      <c r="K8" s="9">
        <v>26.094532</v>
      </c>
      <c r="L8" s="9">
        <v>91.785347</v>
      </c>
      <c r="M8" s="9">
        <v>15.9</v>
      </c>
      <c r="O8" s="11" t="s">
        <v>22</v>
      </c>
      <c r="P8" s="11" t="s">
        <v>22</v>
      </c>
      <c r="Q8" s="42" t="s">
        <v>38</v>
      </c>
      <c r="R8" s="42" t="s">
        <v>39</v>
      </c>
      <c r="S8" s="13">
        <v>17.0</v>
      </c>
    </row>
    <row r="9">
      <c r="F9" s="44">
        <f>SUM(F2:F8)</f>
        <v>158.748</v>
      </c>
      <c r="S9" s="44">
        <f>SUM(S2:S8)</f>
        <v>362.2</v>
      </c>
    </row>
    <row r="17">
      <c r="K17" s="44">
        <f>sum(S9-F9)</f>
        <v>203.452</v>
      </c>
    </row>
    <row r="19">
      <c r="K19" s="43">
        <v>203.452</v>
      </c>
    </row>
  </sheetData>
  <mergeCells count="3">
    <mergeCell ref="C1:F1"/>
    <mergeCell ref="H1:M1"/>
    <mergeCell ref="O1:S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51.25"/>
    <col customWidth="1" min="13" max="13" width="35.13"/>
    <col customWidth="1" min="17" max="18" width="19.13"/>
    <col customWidth="1" min="19" max="19" width="41.63"/>
  </cols>
  <sheetData>
    <row r="1">
      <c r="A1" s="1"/>
      <c r="B1" s="1"/>
      <c r="C1" s="6" t="s">
        <v>0</v>
      </c>
      <c r="G1" s="1"/>
      <c r="H1" s="3" t="s">
        <v>1</v>
      </c>
      <c r="N1" s="4"/>
      <c r="O1" s="5" t="s">
        <v>2</v>
      </c>
      <c r="T1" s="4"/>
      <c r="U1" s="4"/>
      <c r="V1" s="4"/>
      <c r="W1" s="4"/>
      <c r="X1" s="4"/>
      <c r="Y1" s="4"/>
      <c r="Z1" s="4"/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4"/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  <c r="T2" s="4"/>
      <c r="U2" s="4"/>
      <c r="V2" s="4"/>
      <c r="W2" s="4"/>
      <c r="X2" s="4"/>
      <c r="Y2" s="4"/>
      <c r="Z2" s="4"/>
    </row>
    <row r="3">
      <c r="A3" s="41">
        <v>1.0</v>
      </c>
      <c r="B3" s="9" t="s">
        <v>40</v>
      </c>
      <c r="C3" s="10" t="s">
        <v>41</v>
      </c>
      <c r="D3" s="10">
        <v>4.0</v>
      </c>
      <c r="E3" s="10" t="s">
        <v>42</v>
      </c>
      <c r="F3" s="10">
        <v>38.0</v>
      </c>
      <c r="G3" s="4"/>
      <c r="H3" s="9" t="s">
        <v>40</v>
      </c>
      <c r="I3" s="14">
        <v>26.421117</v>
      </c>
      <c r="J3" s="14">
        <v>84.373913</v>
      </c>
      <c r="K3" s="14">
        <v>26.148255</v>
      </c>
      <c r="L3" s="14">
        <v>85.33161</v>
      </c>
      <c r="M3" s="9">
        <v>149.0</v>
      </c>
      <c r="N3" s="15"/>
      <c r="O3" s="11" t="s">
        <v>40</v>
      </c>
      <c r="P3" s="11" t="s">
        <v>22</v>
      </c>
      <c r="Q3" s="12" t="s">
        <v>43</v>
      </c>
      <c r="R3" s="12" t="s">
        <v>44</v>
      </c>
      <c r="S3" s="16">
        <v>44.2</v>
      </c>
      <c r="T3" s="8"/>
      <c r="U3" s="4"/>
      <c r="V3" s="4"/>
      <c r="W3" s="4"/>
      <c r="X3" s="4"/>
      <c r="Y3" s="45"/>
      <c r="Z3" s="4"/>
    </row>
    <row r="4">
      <c r="A4" s="41">
        <v>2.0</v>
      </c>
      <c r="B4" s="14"/>
      <c r="C4" s="10" t="s">
        <v>45</v>
      </c>
      <c r="D4" s="10">
        <v>4.0</v>
      </c>
      <c r="E4" s="10" t="s">
        <v>42</v>
      </c>
      <c r="F4" s="10">
        <v>80.0</v>
      </c>
      <c r="G4" s="4"/>
      <c r="H4" s="14"/>
      <c r="I4" s="14">
        <v>26.609648</v>
      </c>
      <c r="J4" s="14">
        <v>84.901163</v>
      </c>
      <c r="K4" s="14">
        <v>26.148255</v>
      </c>
      <c r="L4" s="14">
        <v>85.33161</v>
      </c>
      <c r="M4" s="9">
        <v>83.0</v>
      </c>
      <c r="N4" s="15"/>
      <c r="O4" s="17"/>
      <c r="P4" s="11" t="s">
        <v>22</v>
      </c>
      <c r="Q4" s="12" t="s">
        <v>46</v>
      </c>
      <c r="R4" s="12" t="s">
        <v>47</v>
      </c>
      <c r="S4" s="18">
        <v>83.0</v>
      </c>
      <c r="T4" s="8"/>
      <c r="U4" s="4"/>
      <c r="V4" s="4"/>
      <c r="W4" s="4"/>
      <c r="X4" s="4"/>
      <c r="Y4" s="45"/>
      <c r="Z4" s="4"/>
    </row>
    <row r="5">
      <c r="A5" s="41">
        <v>3.0</v>
      </c>
      <c r="B5" s="9" t="s">
        <v>22</v>
      </c>
      <c r="C5" s="10" t="s">
        <v>48</v>
      </c>
      <c r="D5" s="10">
        <v>4.0</v>
      </c>
      <c r="E5" s="10" t="s">
        <v>42</v>
      </c>
      <c r="F5" s="10">
        <v>80.0</v>
      </c>
      <c r="G5" s="4"/>
      <c r="H5" s="9" t="s">
        <v>22</v>
      </c>
      <c r="I5" s="14">
        <v>26.609648</v>
      </c>
      <c r="J5" s="14">
        <v>84.901163</v>
      </c>
      <c r="K5" s="14">
        <v>26.148255</v>
      </c>
      <c r="L5" s="14">
        <v>85.33161</v>
      </c>
      <c r="M5" s="9">
        <v>83.0</v>
      </c>
      <c r="N5" s="15"/>
      <c r="O5" s="11" t="s">
        <v>22</v>
      </c>
      <c r="P5" s="11" t="s">
        <v>22</v>
      </c>
      <c r="Q5" s="12" t="s">
        <v>46</v>
      </c>
      <c r="R5" s="12" t="s">
        <v>47</v>
      </c>
      <c r="S5" s="18">
        <v>83.0</v>
      </c>
      <c r="T5" s="8"/>
      <c r="U5" s="4"/>
      <c r="V5" s="4"/>
      <c r="W5" s="4"/>
      <c r="X5" s="4"/>
      <c r="Y5" s="45"/>
      <c r="Z5" s="4"/>
    </row>
    <row r="6">
      <c r="A6" s="41">
        <v>4.0</v>
      </c>
      <c r="B6" s="9" t="s">
        <v>49</v>
      </c>
      <c r="C6" s="10" t="s">
        <v>50</v>
      </c>
      <c r="D6" s="10">
        <v>4.0</v>
      </c>
      <c r="E6" s="10" t="s">
        <v>42</v>
      </c>
      <c r="F6" s="10">
        <v>277.053</v>
      </c>
      <c r="G6" s="4"/>
      <c r="H6" s="9" t="s">
        <v>49</v>
      </c>
      <c r="I6" s="14">
        <v>26.148255</v>
      </c>
      <c r="J6" s="14">
        <v>85.33161</v>
      </c>
      <c r="K6" s="14"/>
      <c r="L6" s="14"/>
      <c r="M6" s="9"/>
      <c r="N6" s="15"/>
      <c r="O6" s="11" t="s">
        <v>49</v>
      </c>
      <c r="P6" s="11" t="s">
        <v>22</v>
      </c>
      <c r="Q6" s="12" t="s">
        <v>51</v>
      </c>
      <c r="R6" s="12" t="s">
        <v>52</v>
      </c>
      <c r="S6" s="18">
        <v>293.0</v>
      </c>
      <c r="T6" s="8"/>
      <c r="U6" s="4"/>
      <c r="V6" s="4"/>
      <c r="W6" s="4"/>
      <c r="X6" s="4"/>
      <c r="Y6" s="45"/>
      <c r="Z6" s="4"/>
    </row>
    <row r="7">
      <c r="A7" s="41">
        <v>5.0</v>
      </c>
      <c r="B7" s="14"/>
      <c r="C7" s="10" t="s">
        <v>53</v>
      </c>
      <c r="D7" s="10">
        <v>4.0</v>
      </c>
      <c r="E7" s="10" t="s">
        <v>42</v>
      </c>
      <c r="F7" s="10">
        <v>54.75</v>
      </c>
      <c r="G7" s="4"/>
      <c r="H7" s="14"/>
      <c r="I7" s="14">
        <v>25.548466</v>
      </c>
      <c r="J7" s="14">
        <v>84.661632</v>
      </c>
      <c r="K7" s="14"/>
      <c r="L7" s="14"/>
      <c r="M7" s="9"/>
      <c r="N7" s="15"/>
      <c r="O7" s="17"/>
      <c r="P7" s="13" t="s">
        <v>54</v>
      </c>
      <c r="Q7" s="12" t="s">
        <v>55</v>
      </c>
      <c r="R7" s="12" t="s">
        <v>56</v>
      </c>
      <c r="S7" s="18">
        <v>118.0</v>
      </c>
      <c r="T7" s="8"/>
      <c r="U7" s="4"/>
      <c r="V7" s="4"/>
      <c r="W7" s="4"/>
      <c r="X7" s="4"/>
      <c r="Y7" s="45"/>
      <c r="Z7" s="4"/>
    </row>
    <row r="8">
      <c r="A8" s="41">
        <v>6.0</v>
      </c>
      <c r="B8" s="9" t="s">
        <v>57</v>
      </c>
      <c r="C8" s="10" t="s">
        <v>58</v>
      </c>
      <c r="D8" s="10">
        <v>4.0</v>
      </c>
      <c r="E8" s="10" t="s">
        <v>42</v>
      </c>
      <c r="F8" s="10">
        <v>47.9</v>
      </c>
      <c r="G8" s="4"/>
      <c r="H8" s="9" t="s">
        <v>57</v>
      </c>
      <c r="I8" s="14">
        <v>25.584032</v>
      </c>
      <c r="J8" s="14">
        <v>84.125913</v>
      </c>
      <c r="K8" s="14"/>
      <c r="L8" s="14"/>
      <c r="M8" s="9"/>
      <c r="N8" s="15"/>
      <c r="O8" s="11" t="s">
        <v>57</v>
      </c>
      <c r="P8" s="13" t="s">
        <v>59</v>
      </c>
      <c r="Q8" s="12" t="s">
        <v>60</v>
      </c>
      <c r="R8" s="12" t="s">
        <v>61</v>
      </c>
      <c r="S8" s="18">
        <v>79.7</v>
      </c>
      <c r="T8" s="8"/>
      <c r="U8" s="4"/>
      <c r="V8" s="4"/>
      <c r="W8" s="4"/>
      <c r="X8" s="4"/>
      <c r="Y8" s="45"/>
      <c r="Z8" s="4"/>
    </row>
    <row r="9">
      <c r="A9" s="41">
        <v>7.0</v>
      </c>
      <c r="B9" s="14"/>
      <c r="C9" s="10" t="s">
        <v>62</v>
      </c>
      <c r="D9" s="10">
        <v>2.0</v>
      </c>
      <c r="E9" s="10" t="s">
        <v>42</v>
      </c>
      <c r="F9" s="10">
        <v>108.0</v>
      </c>
      <c r="G9" s="4"/>
      <c r="H9" s="14"/>
      <c r="I9" s="14">
        <v>26.148255</v>
      </c>
      <c r="J9" s="14">
        <v>85.33161</v>
      </c>
      <c r="K9" s="14">
        <v>25.431454</v>
      </c>
      <c r="L9" s="14">
        <v>86.028375</v>
      </c>
      <c r="M9" s="9">
        <v>115.0</v>
      </c>
      <c r="N9" s="15"/>
      <c r="O9" s="17"/>
      <c r="P9" s="13" t="s">
        <v>63</v>
      </c>
      <c r="Q9" s="12" t="s">
        <v>47</v>
      </c>
      <c r="R9" s="12" t="s">
        <v>64</v>
      </c>
      <c r="S9" s="18">
        <v>115.0</v>
      </c>
      <c r="T9" s="8"/>
      <c r="U9" s="4"/>
      <c r="V9" s="4"/>
      <c r="W9" s="4"/>
      <c r="X9" s="4"/>
      <c r="Y9" s="4"/>
      <c r="Z9" s="4"/>
    </row>
    <row r="10">
      <c r="A10" s="41">
        <v>8.0</v>
      </c>
      <c r="B10" s="9" t="s">
        <v>65</v>
      </c>
      <c r="C10" s="10" t="s">
        <v>66</v>
      </c>
      <c r="D10" s="10">
        <v>2.0</v>
      </c>
      <c r="E10" s="10" t="s">
        <v>42</v>
      </c>
      <c r="F10" s="10">
        <v>54.575</v>
      </c>
      <c r="G10" s="4"/>
      <c r="H10" s="9" t="s">
        <v>65</v>
      </c>
      <c r="I10" s="14">
        <v>25.203512</v>
      </c>
      <c r="J10" s="14">
        <v>85.526091</v>
      </c>
      <c r="K10" s="14">
        <v>25.395805</v>
      </c>
      <c r="L10" s="14">
        <v>85.922064</v>
      </c>
      <c r="M10" s="9"/>
      <c r="N10" s="15"/>
      <c r="O10" s="11" t="s">
        <v>65</v>
      </c>
      <c r="P10" s="11" t="s">
        <v>67</v>
      </c>
      <c r="Q10" s="12" t="s">
        <v>68</v>
      </c>
      <c r="R10" s="12" t="s">
        <v>69</v>
      </c>
      <c r="S10" s="18">
        <v>54.5</v>
      </c>
      <c r="T10" s="8"/>
      <c r="U10" s="4"/>
      <c r="V10" s="4"/>
      <c r="W10" s="4"/>
      <c r="X10" s="4"/>
      <c r="Y10" s="4"/>
      <c r="Z10" s="4"/>
    </row>
    <row r="11">
      <c r="A11" s="41">
        <v>9.0</v>
      </c>
      <c r="B11" s="9" t="s">
        <v>18</v>
      </c>
      <c r="C11" s="10" t="s">
        <v>70</v>
      </c>
      <c r="D11" s="10">
        <v>2.0</v>
      </c>
      <c r="E11" s="10" t="s">
        <v>42</v>
      </c>
      <c r="F11" s="10">
        <v>140.0</v>
      </c>
      <c r="G11" s="4"/>
      <c r="H11" s="9" t="s">
        <v>18</v>
      </c>
      <c r="I11" s="14">
        <v>25.493051</v>
      </c>
      <c r="J11" s="14">
        <v>86.698226</v>
      </c>
      <c r="K11" s="14">
        <v>25.77736</v>
      </c>
      <c r="L11" s="14">
        <v>87.473123</v>
      </c>
      <c r="M11" s="9"/>
      <c r="N11" s="15"/>
      <c r="O11" s="11" t="s">
        <v>18</v>
      </c>
      <c r="P11" s="11" t="s">
        <v>18</v>
      </c>
      <c r="Q11" s="12" t="s">
        <v>71</v>
      </c>
      <c r="R11" s="12" t="s">
        <v>72</v>
      </c>
      <c r="S11" s="18">
        <v>136.0</v>
      </c>
      <c r="T11" s="8"/>
      <c r="U11" s="4"/>
      <c r="V11" s="4"/>
      <c r="W11" s="4"/>
      <c r="X11" s="4"/>
      <c r="Y11" s="4"/>
      <c r="Z11" s="4"/>
    </row>
    <row r="12">
      <c r="A12" s="41">
        <v>10.0</v>
      </c>
      <c r="B12" s="9" t="s">
        <v>73</v>
      </c>
      <c r="C12" s="10" t="s">
        <v>74</v>
      </c>
      <c r="D12" s="10">
        <v>2.0</v>
      </c>
      <c r="E12" s="10" t="s">
        <v>42</v>
      </c>
      <c r="F12" s="10">
        <v>68.57</v>
      </c>
      <c r="G12" s="4"/>
      <c r="H12" s="9" t="s">
        <v>73</v>
      </c>
      <c r="I12" s="14">
        <v>25.395805</v>
      </c>
      <c r="J12" s="14">
        <v>85.922064</v>
      </c>
      <c r="K12" s="14">
        <v>25.220286</v>
      </c>
      <c r="L12" s="14">
        <v>86.516148</v>
      </c>
      <c r="M12" s="9"/>
      <c r="N12" s="15"/>
      <c r="O12" s="11" t="s">
        <v>73</v>
      </c>
      <c r="P12" s="11" t="s">
        <v>67</v>
      </c>
      <c r="Q12" s="12" t="s">
        <v>75</v>
      </c>
      <c r="R12" s="12" t="s">
        <v>76</v>
      </c>
      <c r="S12" s="18">
        <v>82.0</v>
      </c>
      <c r="T12" s="8"/>
      <c r="U12" s="4"/>
      <c r="V12" s="4"/>
      <c r="W12" s="4"/>
      <c r="X12" s="4"/>
      <c r="Y12" s="4"/>
      <c r="Z12" s="4"/>
    </row>
    <row r="13">
      <c r="A13" s="41">
        <v>11.0</v>
      </c>
      <c r="B13" s="9" t="s">
        <v>49</v>
      </c>
      <c r="C13" s="10" t="s">
        <v>77</v>
      </c>
      <c r="D13" s="10">
        <v>4.0</v>
      </c>
      <c r="E13" s="10" t="s">
        <v>42</v>
      </c>
      <c r="F13" s="10">
        <v>10.64</v>
      </c>
      <c r="G13" s="4"/>
      <c r="H13" s="9" t="s">
        <v>49</v>
      </c>
      <c r="I13" s="14"/>
      <c r="J13" s="14"/>
      <c r="K13" s="14"/>
      <c r="L13" s="14"/>
      <c r="M13" s="9"/>
      <c r="N13" s="15"/>
      <c r="O13" s="11" t="s">
        <v>49</v>
      </c>
      <c r="P13" s="13" t="s">
        <v>22</v>
      </c>
      <c r="Q13" s="12" t="s">
        <v>78</v>
      </c>
      <c r="R13" s="12" t="s">
        <v>79</v>
      </c>
      <c r="S13" s="18">
        <v>10.0</v>
      </c>
      <c r="T13" s="8"/>
      <c r="U13" s="4"/>
      <c r="V13" s="4"/>
      <c r="W13" s="4"/>
      <c r="X13" s="4"/>
      <c r="Y13" s="4"/>
      <c r="Z13" s="4"/>
    </row>
    <row r="14">
      <c r="A14" s="41">
        <v>12.0</v>
      </c>
      <c r="B14" s="9" t="s">
        <v>80</v>
      </c>
      <c r="C14" s="10" t="s">
        <v>81</v>
      </c>
      <c r="D14" s="10">
        <v>4.0</v>
      </c>
      <c r="E14" s="10" t="s">
        <v>42</v>
      </c>
      <c r="F14" s="10">
        <v>49.0</v>
      </c>
      <c r="G14" s="4"/>
      <c r="H14" s="9" t="s">
        <v>80</v>
      </c>
      <c r="I14" s="14"/>
      <c r="J14" s="14"/>
      <c r="K14" s="14">
        <v>25.77736</v>
      </c>
      <c r="L14" s="14">
        <v>87.473123</v>
      </c>
      <c r="M14" s="9"/>
      <c r="N14" s="15"/>
      <c r="O14" s="11" t="s">
        <v>80</v>
      </c>
      <c r="P14" s="11" t="s">
        <v>80</v>
      </c>
      <c r="Q14" s="12" t="s">
        <v>82</v>
      </c>
      <c r="R14" s="12" t="s">
        <v>83</v>
      </c>
      <c r="S14" s="18">
        <v>68.0</v>
      </c>
      <c r="T14" s="8"/>
      <c r="U14" s="4"/>
      <c r="V14" s="4"/>
      <c r="W14" s="4"/>
      <c r="X14" s="4"/>
      <c r="Y14" s="4"/>
      <c r="Z14" s="4"/>
    </row>
    <row r="15">
      <c r="A15" s="41">
        <v>13.0</v>
      </c>
      <c r="B15" s="9" t="s">
        <v>84</v>
      </c>
      <c r="C15" s="10" t="s">
        <v>85</v>
      </c>
      <c r="D15" s="10">
        <v>4.0</v>
      </c>
      <c r="E15" s="10" t="s">
        <v>42</v>
      </c>
      <c r="F15" s="10">
        <v>44.995</v>
      </c>
      <c r="G15" s="4"/>
      <c r="H15" s="9" t="s">
        <v>84</v>
      </c>
      <c r="I15" s="14"/>
      <c r="J15" s="14"/>
      <c r="K15" s="14">
        <v>21.674181</v>
      </c>
      <c r="L15" s="14">
        <v>76.38168</v>
      </c>
      <c r="M15" s="9"/>
      <c r="N15" s="19"/>
      <c r="O15" s="11" t="s">
        <v>84</v>
      </c>
      <c r="P15" s="11" t="s">
        <v>84</v>
      </c>
      <c r="Q15" s="12" t="s">
        <v>86</v>
      </c>
      <c r="R15" s="12" t="s">
        <v>87</v>
      </c>
      <c r="S15" s="18">
        <v>54.9</v>
      </c>
      <c r="T15" s="8"/>
      <c r="U15" s="4"/>
      <c r="V15" s="4"/>
      <c r="W15" s="46"/>
      <c r="X15" s="46"/>
      <c r="Y15" s="4"/>
      <c r="Z15" s="4"/>
    </row>
    <row r="16">
      <c r="A16" s="41">
        <v>14.0</v>
      </c>
      <c r="B16" s="9" t="s">
        <v>88</v>
      </c>
      <c r="C16" s="10" t="s">
        <v>89</v>
      </c>
      <c r="D16" s="10">
        <v>4.0</v>
      </c>
      <c r="E16" s="10" t="s">
        <v>42</v>
      </c>
      <c r="F16" s="10">
        <v>9.26</v>
      </c>
      <c r="G16" s="4"/>
      <c r="H16" s="9" t="s">
        <v>88</v>
      </c>
      <c r="I16" s="14">
        <v>26.304911</v>
      </c>
      <c r="J16" s="14">
        <v>87.263285</v>
      </c>
      <c r="K16" s="14"/>
      <c r="L16" s="14"/>
      <c r="M16" s="9"/>
      <c r="N16" s="15"/>
      <c r="O16" s="11" t="s">
        <v>88</v>
      </c>
      <c r="P16" s="11" t="s">
        <v>88</v>
      </c>
      <c r="Q16" s="12" t="s">
        <v>90</v>
      </c>
      <c r="R16" s="12" t="s">
        <v>91</v>
      </c>
      <c r="S16" s="18">
        <v>14.0</v>
      </c>
      <c r="T16" s="8"/>
      <c r="U16" s="4"/>
      <c r="V16" s="4"/>
      <c r="W16" s="46"/>
      <c r="X16" s="47"/>
      <c r="Y16" s="4"/>
      <c r="Z16" s="4"/>
    </row>
    <row r="17">
      <c r="A17" s="41">
        <v>15.0</v>
      </c>
      <c r="B17" s="9" t="s">
        <v>84</v>
      </c>
      <c r="C17" s="10" t="s">
        <v>92</v>
      </c>
      <c r="D17" s="10">
        <v>4.0</v>
      </c>
      <c r="E17" s="10" t="s">
        <v>42</v>
      </c>
      <c r="F17" s="10">
        <v>49.0</v>
      </c>
      <c r="G17" s="4"/>
      <c r="H17" s="9" t="s">
        <v>84</v>
      </c>
      <c r="I17" s="14">
        <v>26.527434</v>
      </c>
      <c r="J17" s="14">
        <v>88.113383</v>
      </c>
      <c r="K17" s="14"/>
      <c r="L17" s="14"/>
      <c r="M17" s="9"/>
      <c r="N17" s="15"/>
      <c r="O17" s="11" t="s">
        <v>84</v>
      </c>
      <c r="P17" s="11" t="s">
        <v>84</v>
      </c>
      <c r="Q17" s="12" t="s">
        <v>93</v>
      </c>
      <c r="R17" s="12" t="s">
        <v>94</v>
      </c>
      <c r="S17" s="18">
        <v>51.5</v>
      </c>
      <c r="T17" s="8"/>
      <c r="U17" s="4"/>
      <c r="V17" s="4"/>
      <c r="W17" s="46"/>
      <c r="X17" s="47"/>
      <c r="Y17" s="4"/>
      <c r="Z17" s="4"/>
    </row>
    <row r="18">
      <c r="A18" s="41">
        <v>16.0</v>
      </c>
      <c r="B18" s="9" t="s">
        <v>95</v>
      </c>
      <c r="C18" s="10" t="s">
        <v>96</v>
      </c>
      <c r="D18" s="10">
        <v>4.0</v>
      </c>
      <c r="E18" s="10" t="s">
        <v>42</v>
      </c>
      <c r="F18" s="10">
        <v>63.17</v>
      </c>
      <c r="G18" s="4"/>
      <c r="H18" s="9" t="s">
        <v>95</v>
      </c>
      <c r="I18" s="14">
        <v>25.69057</v>
      </c>
      <c r="J18" s="14">
        <v>85.209035</v>
      </c>
      <c r="K18" s="14"/>
      <c r="L18" s="14"/>
      <c r="M18" s="9"/>
      <c r="N18" s="15"/>
      <c r="O18" s="11" t="s">
        <v>95</v>
      </c>
      <c r="P18" s="20"/>
      <c r="Q18" s="12" t="s">
        <v>97</v>
      </c>
      <c r="R18" s="12" t="s">
        <v>98</v>
      </c>
      <c r="S18" s="18">
        <v>58.0</v>
      </c>
      <c r="T18" s="8"/>
      <c r="U18" s="4"/>
      <c r="V18" s="4"/>
      <c r="W18" s="4"/>
      <c r="X18" s="4"/>
      <c r="Y18" s="4"/>
      <c r="Z18" s="4"/>
    </row>
    <row r="19">
      <c r="A19" s="41">
        <v>17.0</v>
      </c>
      <c r="B19" s="9" t="s">
        <v>18</v>
      </c>
      <c r="C19" s="10" t="s">
        <v>99</v>
      </c>
      <c r="D19" s="10">
        <v>4.0</v>
      </c>
      <c r="E19" s="10" t="s">
        <v>42</v>
      </c>
      <c r="F19" s="10">
        <v>36.3</v>
      </c>
      <c r="G19" s="4"/>
      <c r="H19" s="9" t="s">
        <v>18</v>
      </c>
      <c r="I19" s="14">
        <v>25.77736</v>
      </c>
      <c r="J19" s="14">
        <v>87.473123</v>
      </c>
      <c r="K19" s="14"/>
      <c r="L19" s="14"/>
      <c r="M19" s="9"/>
      <c r="N19" s="15"/>
      <c r="O19" s="11" t="s">
        <v>18</v>
      </c>
      <c r="P19" s="13" t="s">
        <v>22</v>
      </c>
      <c r="Q19" s="12" t="s">
        <v>100</v>
      </c>
      <c r="R19" s="12" t="s">
        <v>101</v>
      </c>
      <c r="S19" s="18">
        <v>36.0</v>
      </c>
      <c r="T19" s="8"/>
      <c r="U19" s="4"/>
      <c r="V19" s="4"/>
      <c r="W19" s="4"/>
      <c r="X19" s="4"/>
      <c r="Y19" s="4"/>
      <c r="Z19" s="4"/>
    </row>
    <row r="20">
      <c r="A20" s="41">
        <v>18.0</v>
      </c>
      <c r="B20" s="9" t="s">
        <v>102</v>
      </c>
      <c r="C20" s="10" t="s">
        <v>103</v>
      </c>
      <c r="D20" s="10">
        <v>6.0</v>
      </c>
      <c r="E20" s="10" t="s">
        <v>42</v>
      </c>
      <c r="F20" s="10">
        <v>39.16</v>
      </c>
      <c r="G20" s="4"/>
      <c r="H20" s="9" t="s">
        <v>102</v>
      </c>
      <c r="I20" s="14">
        <v>25.994068</v>
      </c>
      <c r="J20" s="14">
        <v>86.158152</v>
      </c>
      <c r="K20" s="14">
        <v>21.674181</v>
      </c>
      <c r="L20" s="14">
        <v>76.38168</v>
      </c>
      <c r="M20" s="9"/>
      <c r="N20" s="15"/>
      <c r="O20" s="11" t="s">
        <v>102</v>
      </c>
      <c r="P20" s="11" t="s">
        <v>102</v>
      </c>
      <c r="Q20" s="12" t="s">
        <v>104</v>
      </c>
      <c r="R20" s="12" t="s">
        <v>105</v>
      </c>
      <c r="S20" s="18">
        <v>43.9</v>
      </c>
      <c r="T20" s="8"/>
      <c r="U20" s="4"/>
      <c r="V20" s="4"/>
      <c r="W20" s="4"/>
      <c r="X20" s="4"/>
      <c r="Y20" s="4"/>
      <c r="Z20" s="4"/>
    </row>
    <row r="21">
      <c r="A21" s="41">
        <v>19.0</v>
      </c>
      <c r="B21" s="14"/>
      <c r="C21" s="10" t="s">
        <v>106</v>
      </c>
      <c r="D21" s="10">
        <v>4.0</v>
      </c>
      <c r="E21" s="10" t="s">
        <v>42</v>
      </c>
      <c r="F21" s="10">
        <v>47.225</v>
      </c>
      <c r="G21" s="4"/>
      <c r="H21" s="14"/>
      <c r="I21" s="14">
        <v>25.458623</v>
      </c>
      <c r="J21" s="14">
        <v>85.536902</v>
      </c>
      <c r="K21" s="14">
        <v>21.674181</v>
      </c>
      <c r="L21" s="14">
        <v>76.38168</v>
      </c>
      <c r="M21" s="9"/>
      <c r="N21" s="15"/>
      <c r="O21" s="17"/>
      <c r="P21" s="20"/>
      <c r="Q21" s="12" t="s">
        <v>107</v>
      </c>
      <c r="R21" s="12" t="s">
        <v>108</v>
      </c>
      <c r="S21" s="18">
        <v>94.5</v>
      </c>
      <c r="T21" s="8"/>
      <c r="U21" s="4"/>
      <c r="V21" s="4"/>
      <c r="W21" s="4"/>
      <c r="X21" s="4"/>
      <c r="Y21" s="4"/>
      <c r="Z21" s="4"/>
    </row>
    <row r="22">
      <c r="A22" s="41">
        <v>20.0</v>
      </c>
      <c r="B22" s="14"/>
      <c r="C22" s="10" t="s">
        <v>109</v>
      </c>
      <c r="D22" s="10">
        <v>2.0</v>
      </c>
      <c r="E22" s="10" t="s">
        <v>42</v>
      </c>
      <c r="F22" s="10">
        <v>94.26</v>
      </c>
      <c r="G22" s="4"/>
      <c r="H22" s="14"/>
      <c r="I22" s="14">
        <v>25.773344</v>
      </c>
      <c r="J22" s="14">
        <v>84.784977</v>
      </c>
      <c r="K22" s="14">
        <v>26.421117</v>
      </c>
      <c r="L22" s="14">
        <v>84.373913</v>
      </c>
      <c r="M22" s="9"/>
      <c r="N22" s="15"/>
      <c r="O22" s="17"/>
      <c r="P22" s="20"/>
      <c r="Q22" s="12" t="s">
        <v>110</v>
      </c>
      <c r="R22" s="12" t="s">
        <v>111</v>
      </c>
      <c r="S22" s="18">
        <v>100.0</v>
      </c>
      <c r="T22" s="8"/>
      <c r="U22" s="4"/>
      <c r="V22" s="4"/>
      <c r="W22" s="4"/>
      <c r="X22" s="4"/>
      <c r="Y22" s="4"/>
      <c r="Z22" s="4"/>
    </row>
    <row r="23">
      <c r="A23" s="41">
        <v>21.0</v>
      </c>
      <c r="B23" s="14"/>
      <c r="C23" s="10" t="s">
        <v>112</v>
      </c>
      <c r="D23" s="10">
        <v>2.0</v>
      </c>
      <c r="E23" s="10" t="s">
        <v>42</v>
      </c>
      <c r="F23" s="10">
        <v>73.07</v>
      </c>
      <c r="G23" s="4"/>
      <c r="H23" s="14"/>
      <c r="I23" s="14">
        <v>25.773344</v>
      </c>
      <c r="J23" s="14">
        <v>84.784977</v>
      </c>
      <c r="K23" s="14">
        <v>26.148255</v>
      </c>
      <c r="L23" s="14">
        <v>85.33161</v>
      </c>
      <c r="M23" s="9"/>
      <c r="N23" s="8"/>
      <c r="O23" s="17"/>
      <c r="P23" s="20"/>
      <c r="Q23" s="11" t="s">
        <v>113</v>
      </c>
      <c r="R23" s="11" t="s">
        <v>98</v>
      </c>
      <c r="S23" s="18">
        <v>81.0</v>
      </c>
      <c r="T23" s="8"/>
      <c r="U23" s="4"/>
      <c r="V23" s="4"/>
      <c r="W23" s="4"/>
      <c r="X23" s="4"/>
      <c r="Y23" s="4"/>
      <c r="Z23" s="4"/>
    </row>
    <row r="24">
      <c r="A24" s="41">
        <v>22.0</v>
      </c>
      <c r="B24" s="9" t="s">
        <v>114</v>
      </c>
      <c r="C24" s="10" t="s">
        <v>115</v>
      </c>
      <c r="D24" s="10">
        <v>2.0</v>
      </c>
      <c r="E24" s="10" t="s">
        <v>42</v>
      </c>
      <c r="F24" s="10">
        <v>14.52</v>
      </c>
      <c r="G24" s="4"/>
      <c r="H24" s="9" t="s">
        <v>114</v>
      </c>
      <c r="I24" s="14">
        <v>21.674181</v>
      </c>
      <c r="J24" s="14">
        <v>76.38168</v>
      </c>
      <c r="K24" s="14"/>
      <c r="L24" s="14"/>
      <c r="M24" s="9"/>
      <c r="N24" s="8"/>
      <c r="O24" s="11" t="s">
        <v>114</v>
      </c>
      <c r="P24" s="11" t="s">
        <v>116</v>
      </c>
      <c r="Q24" s="11" t="s">
        <v>117</v>
      </c>
      <c r="R24" s="11" t="s">
        <v>118</v>
      </c>
      <c r="S24" s="18">
        <v>19.0</v>
      </c>
      <c r="T24" s="21"/>
      <c r="U24" s="4"/>
      <c r="V24" s="4"/>
      <c r="W24" s="4"/>
      <c r="X24" s="4"/>
      <c r="Y24" s="4"/>
      <c r="Z24" s="4"/>
    </row>
    <row r="25">
      <c r="A25" s="41">
        <v>23.0</v>
      </c>
      <c r="B25" s="9" t="s">
        <v>119</v>
      </c>
      <c r="C25" s="10" t="s">
        <v>120</v>
      </c>
      <c r="D25" s="10">
        <v>4.0</v>
      </c>
      <c r="E25" s="10" t="s">
        <v>42</v>
      </c>
      <c r="F25" s="10">
        <v>43.85</v>
      </c>
      <c r="G25" s="4"/>
      <c r="H25" s="9" t="s">
        <v>119</v>
      </c>
      <c r="I25" s="14">
        <v>25.58012</v>
      </c>
      <c r="J25" s="14">
        <v>84.757256</v>
      </c>
      <c r="K25" s="14"/>
      <c r="L25" s="14"/>
      <c r="M25" s="9"/>
      <c r="N25" s="8"/>
      <c r="O25" s="11" t="s">
        <v>119</v>
      </c>
      <c r="P25" s="20"/>
      <c r="Q25" s="11" t="s">
        <v>121</v>
      </c>
      <c r="R25" s="11" t="s">
        <v>122</v>
      </c>
      <c r="S25" s="18">
        <v>30.0</v>
      </c>
      <c r="T25" s="21"/>
      <c r="U25" s="4"/>
      <c r="V25" s="4"/>
      <c r="W25" s="4"/>
      <c r="X25" s="4"/>
      <c r="Y25" s="4"/>
      <c r="Z25" s="4"/>
    </row>
    <row r="26">
      <c r="A26" s="41">
        <v>24.0</v>
      </c>
      <c r="B26" s="9" t="s">
        <v>95</v>
      </c>
      <c r="C26" s="10" t="s">
        <v>123</v>
      </c>
      <c r="D26" s="10">
        <v>2.0</v>
      </c>
      <c r="E26" s="10" t="s">
        <v>42</v>
      </c>
      <c r="F26" s="10">
        <v>82.08</v>
      </c>
      <c r="G26" s="4"/>
      <c r="H26" s="9" t="s">
        <v>95</v>
      </c>
      <c r="I26" s="14">
        <v>26.148255</v>
      </c>
      <c r="J26" s="14">
        <v>85.33161</v>
      </c>
      <c r="K26" s="14">
        <v>25.701332</v>
      </c>
      <c r="L26" s="14">
        <v>86.779366</v>
      </c>
      <c r="M26" s="9"/>
      <c r="N26" s="8"/>
      <c r="O26" s="11" t="s">
        <v>95</v>
      </c>
      <c r="P26" s="20"/>
      <c r="Q26" s="11" t="s">
        <v>124</v>
      </c>
      <c r="R26" s="11" t="s">
        <v>125</v>
      </c>
      <c r="S26" s="18">
        <v>179.0</v>
      </c>
      <c r="T26" s="21"/>
      <c r="U26" s="4"/>
      <c r="V26" s="4"/>
      <c r="W26" s="4"/>
      <c r="X26" s="4"/>
      <c r="Y26" s="4"/>
      <c r="Z26" s="4"/>
    </row>
    <row r="27">
      <c r="A27" s="41">
        <v>25.0</v>
      </c>
      <c r="B27" s="9" t="s">
        <v>119</v>
      </c>
      <c r="C27" s="10" t="s">
        <v>126</v>
      </c>
      <c r="D27" s="10">
        <v>4.0</v>
      </c>
      <c r="E27" s="10" t="s">
        <v>42</v>
      </c>
      <c r="F27" s="10">
        <v>50.45</v>
      </c>
      <c r="G27" s="4"/>
      <c r="H27" s="9" t="s">
        <v>119</v>
      </c>
      <c r="I27" s="14"/>
      <c r="J27" s="14"/>
      <c r="K27" s="14"/>
      <c r="L27" s="14"/>
      <c r="M27" s="9"/>
      <c r="N27" s="8"/>
      <c r="O27" s="11" t="s">
        <v>119</v>
      </c>
      <c r="P27" s="20"/>
      <c r="Q27" s="11" t="s">
        <v>127</v>
      </c>
      <c r="R27" s="11" t="s">
        <v>128</v>
      </c>
      <c r="S27" s="18">
        <v>49.0</v>
      </c>
      <c r="T27" s="21"/>
      <c r="U27" s="4"/>
      <c r="V27" s="4"/>
      <c r="W27" s="4"/>
      <c r="X27" s="4"/>
      <c r="Y27" s="4"/>
      <c r="Z27" s="4"/>
    </row>
    <row r="28">
      <c r="A28" s="41">
        <v>26.0</v>
      </c>
      <c r="B28" s="14"/>
      <c r="C28" s="10" t="s">
        <v>129</v>
      </c>
      <c r="D28" s="10">
        <v>4.0</v>
      </c>
      <c r="E28" s="10" t="s">
        <v>42</v>
      </c>
      <c r="F28" s="10">
        <v>60.23</v>
      </c>
      <c r="G28" s="4"/>
      <c r="H28" s="14"/>
      <c r="I28" s="14">
        <v>25.410723</v>
      </c>
      <c r="J28" s="14">
        <v>86.013734</v>
      </c>
      <c r="K28" s="14">
        <v>25.493051</v>
      </c>
      <c r="L28" s="14">
        <v>86.698226</v>
      </c>
      <c r="M28" s="9"/>
      <c r="N28" s="8"/>
      <c r="O28" s="17"/>
      <c r="P28" s="20"/>
      <c r="Q28" s="11" t="s">
        <v>130</v>
      </c>
      <c r="R28" s="11" t="s">
        <v>131</v>
      </c>
      <c r="S28" s="18">
        <v>60.0</v>
      </c>
      <c r="T28" s="21"/>
      <c r="U28" s="4"/>
      <c r="V28" s="4"/>
      <c r="W28" s="4"/>
      <c r="X28" s="4"/>
      <c r="Y28" s="4"/>
      <c r="Z28" s="4"/>
    </row>
    <row r="29">
      <c r="A29" s="41">
        <v>27.0</v>
      </c>
      <c r="B29" s="9" t="s">
        <v>22</v>
      </c>
      <c r="C29" s="10" t="s">
        <v>132</v>
      </c>
      <c r="D29" s="10">
        <v>4.0</v>
      </c>
      <c r="E29" s="10" t="s">
        <v>42</v>
      </c>
      <c r="F29" s="10">
        <v>79.085</v>
      </c>
      <c r="G29" s="4"/>
      <c r="H29" s="9" t="s">
        <v>22</v>
      </c>
      <c r="I29" s="14"/>
      <c r="J29" s="14"/>
      <c r="K29" s="14">
        <v>26.503818</v>
      </c>
      <c r="L29" s="14">
        <v>84.852181</v>
      </c>
      <c r="M29" s="9"/>
      <c r="N29" s="8"/>
      <c r="O29" s="11" t="s">
        <v>22</v>
      </c>
      <c r="P29" s="11" t="s">
        <v>22</v>
      </c>
      <c r="Q29" s="11" t="s">
        <v>133</v>
      </c>
      <c r="R29" s="11" t="s">
        <v>134</v>
      </c>
      <c r="S29" s="18">
        <v>123.0</v>
      </c>
      <c r="T29" s="21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>
        <f>SUM(F2:F29)</f>
        <v>1795.143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f>SUM(S2:S29)</f>
        <v>2160.2</v>
      </c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>
        <f>sum(S30-F30)</f>
        <v>365.057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1">
        <v>365.057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C1:F1"/>
    <mergeCell ref="H1:M1"/>
    <mergeCell ref="O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97.5"/>
    <col customWidth="1" min="4" max="4" width="13.0"/>
    <col customWidth="1" min="14" max="15" width="19.13"/>
    <col customWidth="1" min="16" max="16" width="16.5"/>
    <col customWidth="1" min="17" max="18" width="19.13"/>
    <col customWidth="1" min="19" max="19" width="41.63"/>
  </cols>
  <sheetData>
    <row r="1">
      <c r="A1" s="1"/>
      <c r="B1" s="1"/>
      <c r="C1" s="6" t="s">
        <v>0</v>
      </c>
      <c r="G1" s="1"/>
      <c r="H1" s="3" t="s">
        <v>1</v>
      </c>
      <c r="O1" s="5" t="s">
        <v>2</v>
      </c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</row>
    <row r="3">
      <c r="A3" s="41">
        <v>1.0</v>
      </c>
      <c r="B3" s="9" t="s">
        <v>135</v>
      </c>
      <c r="C3" s="10" t="s">
        <v>136</v>
      </c>
      <c r="D3" s="10">
        <v>6.0</v>
      </c>
      <c r="E3" s="10" t="s">
        <v>137</v>
      </c>
      <c r="F3" s="10">
        <v>40.19</v>
      </c>
      <c r="G3" s="1"/>
      <c r="H3" s="9" t="s">
        <v>135</v>
      </c>
      <c r="I3" s="14"/>
      <c r="J3" s="14"/>
      <c r="K3" s="14"/>
      <c r="L3" s="14"/>
      <c r="M3" s="9">
        <v>50.0</v>
      </c>
      <c r="N3" s="48"/>
      <c r="O3" s="11" t="s">
        <v>135</v>
      </c>
      <c r="P3" s="11" t="s">
        <v>138</v>
      </c>
      <c r="Q3" s="49" t="s">
        <v>139</v>
      </c>
      <c r="R3" s="49" t="s">
        <v>140</v>
      </c>
      <c r="S3" s="11">
        <v>50.0</v>
      </c>
    </row>
    <row r="4">
      <c r="A4" s="41">
        <v>2.0</v>
      </c>
      <c r="B4" s="9" t="s">
        <v>135</v>
      </c>
      <c r="C4" s="10" t="s">
        <v>141</v>
      </c>
      <c r="D4" s="10">
        <v>6.0</v>
      </c>
      <c r="E4" s="10" t="s">
        <v>137</v>
      </c>
      <c r="F4" s="10">
        <v>40.33</v>
      </c>
      <c r="G4" s="1"/>
      <c r="H4" s="9" t="s">
        <v>135</v>
      </c>
      <c r="I4" s="14"/>
      <c r="J4" s="14"/>
      <c r="K4" s="14"/>
      <c r="L4" s="14"/>
      <c r="M4" s="9">
        <v>44.0</v>
      </c>
      <c r="N4" s="48"/>
      <c r="O4" s="11" t="s">
        <v>135</v>
      </c>
      <c r="P4" s="11" t="s">
        <v>138</v>
      </c>
      <c r="Q4" s="49" t="s">
        <v>142</v>
      </c>
      <c r="R4" s="49" t="s">
        <v>143</v>
      </c>
      <c r="S4" s="11">
        <v>44.0</v>
      </c>
    </row>
    <row r="5">
      <c r="A5" s="41">
        <v>3.0</v>
      </c>
      <c r="B5" s="9" t="s">
        <v>144</v>
      </c>
      <c r="C5" s="10" t="s">
        <v>145</v>
      </c>
      <c r="D5" s="10">
        <v>4.0</v>
      </c>
      <c r="E5" s="10" t="s">
        <v>137</v>
      </c>
      <c r="F5" s="10">
        <v>22.4</v>
      </c>
      <c r="G5" s="1"/>
      <c r="H5" s="9" t="s">
        <v>144</v>
      </c>
      <c r="I5" s="9">
        <v>23.377482</v>
      </c>
      <c r="J5" s="9">
        <v>85.312652</v>
      </c>
      <c r="K5" s="9">
        <v>25.23784</v>
      </c>
      <c r="L5" s="9">
        <v>87.605024</v>
      </c>
      <c r="M5" s="9">
        <v>23.0</v>
      </c>
      <c r="N5" s="48"/>
      <c r="O5" s="11" t="s">
        <v>144</v>
      </c>
      <c r="P5" s="11" t="s">
        <v>146</v>
      </c>
      <c r="Q5" s="49" t="s">
        <v>147</v>
      </c>
      <c r="R5" s="49" t="s">
        <v>148</v>
      </c>
      <c r="S5" s="11">
        <v>23.0</v>
      </c>
    </row>
    <row r="6">
      <c r="A6" s="41">
        <v>4.0</v>
      </c>
      <c r="B6" s="9" t="s">
        <v>67</v>
      </c>
      <c r="C6" s="10" t="s">
        <v>149</v>
      </c>
      <c r="D6" s="10">
        <v>4.0</v>
      </c>
      <c r="E6" s="10" t="s">
        <v>137</v>
      </c>
      <c r="F6" s="10">
        <v>71.61</v>
      </c>
      <c r="G6" s="1"/>
      <c r="H6" s="9" t="s">
        <v>67</v>
      </c>
      <c r="I6" s="9">
        <v>22.649467</v>
      </c>
      <c r="J6" s="9">
        <v>86.414548</v>
      </c>
      <c r="K6" s="14"/>
      <c r="L6" s="14"/>
      <c r="M6" s="9">
        <v>73.0</v>
      </c>
      <c r="N6" s="48"/>
      <c r="O6" s="11" t="s">
        <v>67</v>
      </c>
      <c r="P6" s="11" t="s">
        <v>150</v>
      </c>
      <c r="Q6" s="49" t="s">
        <v>151</v>
      </c>
      <c r="R6" s="49" t="s">
        <v>152</v>
      </c>
      <c r="S6" s="11">
        <v>73.0</v>
      </c>
    </row>
    <row r="7">
      <c r="A7" s="41">
        <v>5.0</v>
      </c>
      <c r="B7" s="9" t="s">
        <v>67</v>
      </c>
      <c r="C7" s="10" t="s">
        <v>153</v>
      </c>
      <c r="D7" s="10">
        <v>4.0</v>
      </c>
      <c r="E7" s="10" t="s">
        <v>137</v>
      </c>
      <c r="F7" s="10">
        <v>77.3</v>
      </c>
      <c r="G7" s="1"/>
      <c r="H7" s="9" t="s">
        <v>67</v>
      </c>
      <c r="I7" s="9">
        <v>23.37005</v>
      </c>
      <c r="J7" s="9">
        <v>85.325039</v>
      </c>
      <c r="K7" s="9">
        <v>22.962123</v>
      </c>
      <c r="L7" s="9">
        <v>85.507914</v>
      </c>
      <c r="M7" s="9">
        <v>77.0</v>
      </c>
      <c r="N7" s="48"/>
      <c r="O7" s="11" t="s">
        <v>67</v>
      </c>
      <c r="P7" s="11" t="s">
        <v>146</v>
      </c>
      <c r="Q7" s="49" t="s">
        <v>154</v>
      </c>
      <c r="R7" s="49" t="s">
        <v>155</v>
      </c>
      <c r="S7" s="11">
        <v>77.0</v>
      </c>
    </row>
    <row r="8">
      <c r="A8" s="41">
        <v>6.0</v>
      </c>
      <c r="B8" s="9" t="s">
        <v>67</v>
      </c>
      <c r="C8" s="10" t="s">
        <v>156</v>
      </c>
      <c r="D8" s="10">
        <v>4.0</v>
      </c>
      <c r="E8" s="10" t="s">
        <v>137</v>
      </c>
      <c r="F8" s="10">
        <v>16.05</v>
      </c>
      <c r="G8" s="1"/>
      <c r="H8" s="9" t="s">
        <v>67</v>
      </c>
      <c r="I8" s="9">
        <v>23.37005</v>
      </c>
      <c r="J8" s="9">
        <v>85.325039</v>
      </c>
      <c r="K8" s="9">
        <v>23.663075</v>
      </c>
      <c r="L8" s="9">
        <v>86.122148</v>
      </c>
      <c r="M8" s="9">
        <v>20.0</v>
      </c>
      <c r="N8" s="48"/>
      <c r="O8" s="11" t="s">
        <v>67</v>
      </c>
      <c r="P8" s="11" t="s">
        <v>157</v>
      </c>
      <c r="Q8" s="49" t="s">
        <v>158</v>
      </c>
      <c r="R8" s="49" t="s">
        <v>159</v>
      </c>
      <c r="S8" s="11">
        <v>20.0</v>
      </c>
    </row>
    <row r="9">
      <c r="A9" s="41">
        <v>7.0</v>
      </c>
      <c r="B9" s="9" t="s">
        <v>67</v>
      </c>
      <c r="C9" s="10" t="s">
        <v>160</v>
      </c>
      <c r="D9" s="10">
        <v>4.0</v>
      </c>
      <c r="E9" s="10" t="s">
        <v>137</v>
      </c>
      <c r="F9" s="10">
        <v>44.22</v>
      </c>
      <c r="G9" s="1"/>
      <c r="H9" s="9" t="s">
        <v>67</v>
      </c>
      <c r="I9" s="9">
        <v>23.37005</v>
      </c>
      <c r="J9" s="9">
        <v>85.325039</v>
      </c>
      <c r="K9" s="9">
        <v>23.798128</v>
      </c>
      <c r="L9" s="9">
        <v>86.282731</v>
      </c>
      <c r="M9" s="9">
        <v>44.0</v>
      </c>
      <c r="N9" s="48"/>
      <c r="O9" s="11" t="s">
        <v>67</v>
      </c>
      <c r="P9" s="11" t="s">
        <v>161</v>
      </c>
      <c r="Q9" s="49" t="s">
        <v>159</v>
      </c>
      <c r="R9" s="49" t="s">
        <v>162</v>
      </c>
      <c r="S9" s="11">
        <v>44.0</v>
      </c>
    </row>
    <row r="10">
      <c r="A10" s="41">
        <v>8.0</v>
      </c>
      <c r="B10" s="9" t="s">
        <v>163</v>
      </c>
      <c r="C10" s="10" t="s">
        <v>164</v>
      </c>
      <c r="D10" s="10">
        <v>4.0</v>
      </c>
      <c r="E10" s="10" t="s">
        <v>137</v>
      </c>
      <c r="F10" s="10">
        <v>21.0</v>
      </c>
      <c r="G10" s="1"/>
      <c r="H10" s="9" t="s">
        <v>163</v>
      </c>
      <c r="I10" s="14"/>
      <c r="J10" s="14"/>
      <c r="K10" s="9">
        <v>23.547889</v>
      </c>
      <c r="L10" s="9">
        <v>84.756259</v>
      </c>
      <c r="M10" s="9">
        <v>23.0</v>
      </c>
      <c r="N10" s="48"/>
      <c r="O10" s="11" t="s">
        <v>163</v>
      </c>
      <c r="P10" s="11" t="s">
        <v>165</v>
      </c>
      <c r="Q10" s="49" t="s">
        <v>166</v>
      </c>
      <c r="R10" s="49" t="s">
        <v>167</v>
      </c>
      <c r="S10" s="11">
        <v>23.0</v>
      </c>
    </row>
    <row r="11">
      <c r="A11" s="41">
        <v>9.0</v>
      </c>
      <c r="B11" s="9" t="s">
        <v>163</v>
      </c>
      <c r="C11" s="10" t="s">
        <v>168</v>
      </c>
      <c r="D11" s="10">
        <v>4.0</v>
      </c>
      <c r="E11" s="10" t="s">
        <v>137</v>
      </c>
      <c r="F11" s="10">
        <v>34.0</v>
      </c>
      <c r="G11" s="1"/>
      <c r="H11" s="9" t="s">
        <v>163</v>
      </c>
      <c r="I11" s="9">
        <v>23.378912</v>
      </c>
      <c r="J11" s="9">
        <v>85.325192</v>
      </c>
      <c r="K11" s="14"/>
      <c r="L11" s="14"/>
      <c r="M11" s="9">
        <v>23.0</v>
      </c>
      <c r="N11" s="48"/>
      <c r="O11" s="11" t="s">
        <v>163</v>
      </c>
      <c r="P11" s="11" t="s">
        <v>165</v>
      </c>
      <c r="Q11" s="49" t="s">
        <v>167</v>
      </c>
      <c r="R11" s="49" t="s">
        <v>169</v>
      </c>
      <c r="S11" s="11">
        <v>23.0</v>
      </c>
    </row>
    <row r="12">
      <c r="A12" s="41">
        <v>10.0</v>
      </c>
      <c r="B12" s="9" t="s">
        <v>67</v>
      </c>
      <c r="C12" s="10" t="s">
        <v>170</v>
      </c>
      <c r="D12" s="10">
        <v>4.0</v>
      </c>
      <c r="E12" s="10" t="s">
        <v>137</v>
      </c>
      <c r="F12" s="10">
        <v>41.28</v>
      </c>
      <c r="G12" s="1"/>
      <c r="H12" s="9" t="s">
        <v>67</v>
      </c>
      <c r="I12" s="9">
        <v>24.264703</v>
      </c>
      <c r="J12" s="9">
        <v>85.474672</v>
      </c>
      <c r="K12" s="9">
        <v>23.992435</v>
      </c>
      <c r="L12" s="9">
        <v>85.361625</v>
      </c>
      <c r="M12" s="9">
        <v>37.4</v>
      </c>
      <c r="N12" s="48"/>
      <c r="O12" s="11" t="s">
        <v>67</v>
      </c>
      <c r="P12" s="11" t="s">
        <v>171</v>
      </c>
      <c r="Q12" s="49" t="s">
        <v>172</v>
      </c>
      <c r="R12" s="49" t="s">
        <v>173</v>
      </c>
      <c r="S12" s="11">
        <v>37.4</v>
      </c>
    </row>
    <row r="13">
      <c r="A13" s="41">
        <v>11.0</v>
      </c>
      <c r="B13" s="9" t="s">
        <v>67</v>
      </c>
      <c r="C13" s="10" t="s">
        <v>174</v>
      </c>
      <c r="D13" s="10">
        <v>4.0</v>
      </c>
      <c r="E13" s="10" t="s">
        <v>137</v>
      </c>
      <c r="F13" s="10">
        <v>73.5</v>
      </c>
      <c r="G13" s="1"/>
      <c r="H13" s="9" t="s">
        <v>67</v>
      </c>
      <c r="I13" s="9">
        <v>24.086696</v>
      </c>
      <c r="J13" s="9">
        <v>85.491223</v>
      </c>
      <c r="K13" s="14"/>
      <c r="L13" s="14"/>
      <c r="M13" s="9">
        <v>81.0</v>
      </c>
      <c r="N13" s="48"/>
      <c r="O13" s="11" t="s">
        <v>67</v>
      </c>
      <c r="P13" s="11" t="s">
        <v>171</v>
      </c>
      <c r="Q13" s="49" t="s">
        <v>175</v>
      </c>
      <c r="R13" s="49" t="s">
        <v>176</v>
      </c>
      <c r="S13" s="11">
        <v>81.0</v>
      </c>
    </row>
    <row r="14">
      <c r="A14" s="41">
        <v>12.0</v>
      </c>
      <c r="B14" s="9" t="s">
        <v>163</v>
      </c>
      <c r="C14" s="10" t="s">
        <v>177</v>
      </c>
      <c r="D14" s="10">
        <v>4.0</v>
      </c>
      <c r="E14" s="10" t="s">
        <v>137</v>
      </c>
      <c r="F14" s="10">
        <v>22.73</v>
      </c>
      <c r="G14" s="1"/>
      <c r="H14" s="9" t="s">
        <v>163</v>
      </c>
      <c r="I14" s="14"/>
      <c r="J14" s="14"/>
      <c r="K14" s="9">
        <v>24.053577</v>
      </c>
      <c r="L14" s="9">
        <v>83.652682</v>
      </c>
      <c r="M14" s="9">
        <v>18.0</v>
      </c>
      <c r="N14" s="48"/>
      <c r="O14" s="11" t="s">
        <v>163</v>
      </c>
      <c r="P14" s="11" t="s">
        <v>165</v>
      </c>
      <c r="Q14" s="49" t="s">
        <v>178</v>
      </c>
      <c r="R14" s="50" t="s">
        <v>179</v>
      </c>
      <c r="S14" s="11">
        <v>18.0</v>
      </c>
    </row>
    <row r="15">
      <c r="A15" s="41">
        <v>13.0</v>
      </c>
      <c r="B15" s="9" t="s">
        <v>180</v>
      </c>
      <c r="C15" s="10" t="s">
        <v>181</v>
      </c>
      <c r="D15" s="10">
        <v>4.0</v>
      </c>
      <c r="E15" s="10" t="s">
        <v>137</v>
      </c>
      <c r="F15" s="10">
        <v>56.89</v>
      </c>
      <c r="G15" s="1"/>
      <c r="H15" s="9" t="s">
        <v>180</v>
      </c>
      <c r="I15" s="14"/>
      <c r="J15" s="14"/>
      <c r="K15" s="14"/>
      <c r="L15" s="14"/>
      <c r="M15" s="9">
        <v>57.0</v>
      </c>
      <c r="N15" s="48"/>
      <c r="O15" s="11" t="s">
        <v>180</v>
      </c>
      <c r="P15" s="11" t="s">
        <v>182</v>
      </c>
      <c r="Q15" s="49" t="s">
        <v>183</v>
      </c>
      <c r="R15" s="49" t="s">
        <v>184</v>
      </c>
      <c r="S15" s="11">
        <v>57.0</v>
      </c>
    </row>
    <row r="16">
      <c r="A16" s="41">
        <v>14.0</v>
      </c>
      <c r="B16" s="9" t="s">
        <v>67</v>
      </c>
      <c r="C16" s="10" t="s">
        <v>185</v>
      </c>
      <c r="D16" s="10">
        <v>4.0</v>
      </c>
      <c r="E16" s="10" t="s">
        <v>137</v>
      </c>
      <c r="F16" s="10">
        <v>26.27</v>
      </c>
      <c r="G16" s="1"/>
      <c r="H16" s="9" t="s">
        <v>67</v>
      </c>
      <c r="I16" s="9">
        <v>23.37005</v>
      </c>
      <c r="J16" s="9">
        <v>85.325039</v>
      </c>
      <c r="K16" s="14"/>
      <c r="L16" s="14"/>
      <c r="M16" s="9">
        <v>26.0</v>
      </c>
      <c r="N16" s="48"/>
      <c r="O16" s="11" t="s">
        <v>67</v>
      </c>
      <c r="P16" s="11" t="s">
        <v>165</v>
      </c>
      <c r="Q16" s="49" t="s">
        <v>186</v>
      </c>
      <c r="R16" s="49" t="s">
        <v>187</v>
      </c>
      <c r="S16" s="11">
        <v>26.0</v>
      </c>
    </row>
    <row r="17">
      <c r="A17" s="41">
        <v>15.0</v>
      </c>
      <c r="B17" s="9" t="s">
        <v>188</v>
      </c>
      <c r="C17" s="10" t="s">
        <v>189</v>
      </c>
      <c r="D17" s="10">
        <v>4.0</v>
      </c>
      <c r="E17" s="10" t="s">
        <v>137</v>
      </c>
      <c r="F17" s="10">
        <v>33.765</v>
      </c>
      <c r="G17" s="1"/>
      <c r="H17" s="9" t="s">
        <v>188</v>
      </c>
      <c r="I17" s="9">
        <v>24.487511</v>
      </c>
      <c r="J17" s="9">
        <v>84.275854</v>
      </c>
      <c r="K17" s="14"/>
      <c r="L17" s="14"/>
      <c r="M17" s="9">
        <v>51.0</v>
      </c>
      <c r="N17" s="48"/>
      <c r="O17" s="11" t="s">
        <v>188</v>
      </c>
      <c r="P17" s="11" t="s">
        <v>190</v>
      </c>
      <c r="Q17" s="49" t="s">
        <v>191</v>
      </c>
      <c r="R17" s="49" t="s">
        <v>192</v>
      </c>
      <c r="S17" s="11">
        <v>51.0</v>
      </c>
    </row>
    <row r="18">
      <c r="F18" s="44">
        <f>SUM(F2:F17)</f>
        <v>621.535</v>
      </c>
      <c r="G18" s="1"/>
      <c r="S18" s="44">
        <f>SUM(S2:S17)</f>
        <v>647.4</v>
      </c>
    </row>
    <row r="19">
      <c r="G19" s="1"/>
    </row>
    <row r="20">
      <c r="G20" s="1"/>
    </row>
    <row r="21">
      <c r="G21" s="1"/>
    </row>
    <row r="26">
      <c r="I26" s="44">
        <f>sum(S18-F18)</f>
        <v>25.865</v>
      </c>
    </row>
    <row r="27">
      <c r="I27" s="43">
        <v>25.865</v>
      </c>
    </row>
  </sheetData>
  <mergeCells count="3">
    <mergeCell ref="C1:F1"/>
    <mergeCell ref="H1:M1"/>
    <mergeCell ref="O1:S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58.88"/>
    <col customWidth="1" min="13" max="13" width="35.13"/>
    <col customWidth="1" min="17" max="18" width="19.13"/>
    <col customWidth="1" min="19" max="19" width="41.63"/>
  </cols>
  <sheetData>
    <row r="1">
      <c r="A1" s="1"/>
      <c r="B1" s="1"/>
      <c r="C1" s="6" t="s">
        <v>0</v>
      </c>
      <c r="G1" s="1"/>
      <c r="H1" s="3" t="s">
        <v>1</v>
      </c>
      <c r="O1" s="5" t="s">
        <v>2</v>
      </c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</row>
    <row r="3">
      <c r="A3" s="8">
        <v>1.0</v>
      </c>
      <c r="B3" s="9" t="s">
        <v>193</v>
      </c>
      <c r="C3" s="10" t="s">
        <v>194</v>
      </c>
      <c r="D3" s="51">
        <v>4.0</v>
      </c>
      <c r="E3" s="10" t="s">
        <v>195</v>
      </c>
      <c r="F3" s="10">
        <v>61.8</v>
      </c>
      <c r="G3" s="15"/>
      <c r="H3" s="9" t="s">
        <v>193</v>
      </c>
      <c r="I3" s="14"/>
      <c r="J3" s="14"/>
      <c r="K3" s="9"/>
      <c r="L3" s="52"/>
      <c r="M3" s="9">
        <v>76.0</v>
      </c>
      <c r="N3" s="48"/>
      <c r="O3" s="11" t="s">
        <v>193</v>
      </c>
      <c r="P3" s="11" t="s">
        <v>196</v>
      </c>
      <c r="Q3" s="49" t="s">
        <v>197</v>
      </c>
      <c r="R3" s="49" t="s">
        <v>198</v>
      </c>
      <c r="S3" s="11">
        <v>76.0</v>
      </c>
    </row>
    <row r="4">
      <c r="A4" s="8">
        <v>2.0</v>
      </c>
      <c r="B4" s="9" t="s">
        <v>193</v>
      </c>
      <c r="C4" s="10" t="s">
        <v>199</v>
      </c>
      <c r="D4" s="51">
        <v>2.0</v>
      </c>
      <c r="E4" s="10" t="s">
        <v>195</v>
      </c>
      <c r="F4" s="10">
        <v>48.76</v>
      </c>
      <c r="G4" s="15"/>
      <c r="H4" s="9" t="s">
        <v>193</v>
      </c>
      <c r="I4" s="9">
        <v>25.575993</v>
      </c>
      <c r="J4" s="9">
        <v>91.882787</v>
      </c>
      <c r="K4" s="14"/>
      <c r="L4" s="14"/>
      <c r="M4" s="9">
        <v>48.6</v>
      </c>
      <c r="N4" s="48"/>
      <c r="O4" s="11" t="s">
        <v>193</v>
      </c>
      <c r="P4" s="11" t="s">
        <v>196</v>
      </c>
      <c r="Q4" s="49" t="s">
        <v>200</v>
      </c>
      <c r="R4" s="49" t="s">
        <v>201</v>
      </c>
      <c r="S4" s="11">
        <v>48.6</v>
      </c>
    </row>
    <row r="5">
      <c r="F5" s="44">
        <f>SUM(F3:F4)</f>
        <v>110.56</v>
      </c>
      <c r="S5" s="44">
        <f>SUM(S2:S4)</f>
        <v>124.6</v>
      </c>
    </row>
    <row r="9">
      <c r="N9" s="44">
        <f>sum(S5-F5)</f>
        <v>14.04</v>
      </c>
    </row>
    <row r="11">
      <c r="N11" s="43">
        <v>14.04</v>
      </c>
    </row>
  </sheetData>
  <mergeCells count="3">
    <mergeCell ref="C1:F1"/>
    <mergeCell ref="H1:M1"/>
    <mergeCell ref="O1:S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99.13"/>
    <col customWidth="1" min="13" max="13" width="35.13"/>
    <col customWidth="1" min="16" max="16" width="16.5"/>
    <col customWidth="1" min="17" max="18" width="19.13"/>
    <col customWidth="1" min="19" max="19" width="41.63"/>
  </cols>
  <sheetData>
    <row r="1">
      <c r="A1" s="1"/>
      <c r="B1" s="1"/>
      <c r="C1" s="6" t="s">
        <v>0</v>
      </c>
      <c r="G1" s="1"/>
      <c r="H1" s="3" t="s">
        <v>1</v>
      </c>
      <c r="O1" s="5" t="s">
        <v>2</v>
      </c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</row>
    <row r="3">
      <c r="D3" s="4"/>
      <c r="G3" s="1"/>
    </row>
    <row r="4">
      <c r="A4" s="23">
        <v>51.0</v>
      </c>
      <c r="B4" s="53"/>
      <c r="C4" s="25" t="s">
        <v>202</v>
      </c>
      <c r="D4" s="26">
        <v>6.0</v>
      </c>
      <c r="E4" s="26" t="s">
        <v>203</v>
      </c>
      <c r="F4" s="26">
        <v>74.5</v>
      </c>
      <c r="G4" s="1"/>
      <c r="H4" s="53"/>
      <c r="I4" s="27">
        <v>20.739617</v>
      </c>
      <c r="J4" s="27">
        <v>86.045493</v>
      </c>
      <c r="K4" s="27">
        <v>20.985405</v>
      </c>
      <c r="L4" s="27">
        <v>86.593423</v>
      </c>
      <c r="M4" s="27"/>
      <c r="N4" s="54"/>
      <c r="O4" s="55"/>
      <c r="P4" s="29" t="s">
        <v>204</v>
      </c>
      <c r="Q4" s="56" t="s">
        <v>205</v>
      </c>
      <c r="R4" s="57" t="s">
        <v>206</v>
      </c>
      <c r="S4" s="30">
        <v>68.4</v>
      </c>
    </row>
    <row r="5">
      <c r="A5" s="23">
        <v>52.0</v>
      </c>
      <c r="B5" s="53"/>
      <c r="C5" s="25" t="s">
        <v>207</v>
      </c>
      <c r="D5" s="26">
        <v>4.0</v>
      </c>
      <c r="E5" s="26" t="s">
        <v>203</v>
      </c>
      <c r="F5" s="26">
        <v>88.0</v>
      </c>
      <c r="G5" s="1"/>
      <c r="H5" s="53"/>
      <c r="I5" s="27">
        <v>18.775624</v>
      </c>
      <c r="J5" s="27">
        <v>84.094384</v>
      </c>
      <c r="K5" s="27">
        <v>21.557061</v>
      </c>
      <c r="L5" s="27">
        <v>84.152851</v>
      </c>
      <c r="M5" s="27"/>
      <c r="N5" s="54"/>
      <c r="O5" s="55"/>
      <c r="P5" s="29" t="s">
        <v>208</v>
      </c>
      <c r="Q5" s="56" t="s">
        <v>209</v>
      </c>
      <c r="R5" s="57" t="s">
        <v>210</v>
      </c>
      <c r="S5" s="30">
        <v>85.0</v>
      </c>
    </row>
    <row r="6">
      <c r="A6" s="23">
        <v>53.0</v>
      </c>
      <c r="B6" s="53"/>
      <c r="C6" s="25" t="s">
        <v>211</v>
      </c>
      <c r="D6" s="26">
        <v>4.0</v>
      </c>
      <c r="E6" s="26" t="s">
        <v>203</v>
      </c>
      <c r="F6" s="26">
        <v>78.32</v>
      </c>
      <c r="G6" s="1"/>
      <c r="H6" s="53"/>
      <c r="I6" s="53"/>
      <c r="J6" s="53"/>
      <c r="K6" s="53"/>
      <c r="L6" s="53"/>
      <c r="M6" s="27"/>
      <c r="N6" s="54"/>
      <c r="O6" s="55"/>
      <c r="P6" s="29" t="s">
        <v>212</v>
      </c>
      <c r="Q6" s="56" t="s">
        <v>213</v>
      </c>
      <c r="R6" s="57" t="s">
        <v>214</v>
      </c>
      <c r="S6" s="30">
        <v>81.0</v>
      </c>
    </row>
    <row r="7">
      <c r="A7" s="23">
        <v>54.0</v>
      </c>
      <c r="B7" s="53"/>
      <c r="C7" s="25" t="s">
        <v>215</v>
      </c>
      <c r="D7" s="26">
        <v>4.0</v>
      </c>
      <c r="E7" s="26" t="s">
        <v>203</v>
      </c>
      <c r="F7" s="26">
        <v>104.17</v>
      </c>
      <c r="G7" s="1"/>
      <c r="H7" s="53"/>
      <c r="I7" s="53"/>
      <c r="J7" s="53"/>
      <c r="K7" s="53"/>
      <c r="L7" s="53"/>
      <c r="M7" s="27"/>
      <c r="N7" s="54"/>
      <c r="O7" s="55"/>
      <c r="P7" s="29" t="s">
        <v>171</v>
      </c>
      <c r="Q7" s="56" t="s">
        <v>216</v>
      </c>
      <c r="R7" s="57" t="s">
        <v>217</v>
      </c>
      <c r="S7" s="30">
        <v>146.0</v>
      </c>
    </row>
    <row r="8">
      <c r="A8" s="23">
        <v>55.0</v>
      </c>
      <c r="B8" s="27" t="s">
        <v>196</v>
      </c>
      <c r="C8" s="26" t="s">
        <v>218</v>
      </c>
      <c r="D8" s="26">
        <v>4.0</v>
      </c>
      <c r="E8" s="26" t="s">
        <v>203</v>
      </c>
      <c r="F8" s="26">
        <v>111.61</v>
      </c>
      <c r="G8" s="1"/>
      <c r="H8" s="27" t="s">
        <v>196</v>
      </c>
      <c r="I8" s="53"/>
      <c r="J8" s="53"/>
      <c r="K8" s="53"/>
      <c r="L8" s="53"/>
      <c r="M8" s="27"/>
      <c r="N8" s="54"/>
      <c r="O8" s="30" t="s">
        <v>196</v>
      </c>
      <c r="P8" s="29" t="s">
        <v>219</v>
      </c>
      <c r="Q8" s="56" t="s">
        <v>220</v>
      </c>
      <c r="R8" s="57" t="s">
        <v>216</v>
      </c>
      <c r="S8" s="30">
        <v>185.0</v>
      </c>
    </row>
    <row r="9">
      <c r="A9" s="23">
        <v>56.0</v>
      </c>
      <c r="B9" s="27" t="s">
        <v>221</v>
      </c>
      <c r="C9" s="26" t="s">
        <v>222</v>
      </c>
      <c r="D9" s="26">
        <v>4.0</v>
      </c>
      <c r="E9" s="26" t="s">
        <v>203</v>
      </c>
      <c r="F9" s="26">
        <v>81.257</v>
      </c>
      <c r="G9" s="1"/>
      <c r="H9" s="27" t="s">
        <v>221</v>
      </c>
      <c r="I9" s="27">
        <v>21.500642</v>
      </c>
      <c r="J9" s="27">
        <v>86.919884</v>
      </c>
      <c r="K9" s="27">
        <v>22.24112</v>
      </c>
      <c r="L9" s="27">
        <v>86.572976</v>
      </c>
      <c r="M9" s="27"/>
      <c r="N9" s="54"/>
      <c r="O9" s="30" t="s">
        <v>221</v>
      </c>
      <c r="P9" s="29" t="s">
        <v>223</v>
      </c>
      <c r="Q9" s="56" t="s">
        <v>224</v>
      </c>
      <c r="R9" s="57" t="s">
        <v>225</v>
      </c>
      <c r="S9" s="30">
        <v>89.5</v>
      </c>
    </row>
    <row r="10">
      <c r="A10" s="23">
        <v>57.0</v>
      </c>
      <c r="B10" s="53"/>
      <c r="C10" s="25" t="s">
        <v>226</v>
      </c>
      <c r="D10" s="26">
        <v>4.0</v>
      </c>
      <c r="E10" s="26" t="s">
        <v>203</v>
      </c>
      <c r="F10" s="26">
        <v>10.9</v>
      </c>
      <c r="G10" s="1"/>
      <c r="H10" s="53"/>
      <c r="I10" s="53"/>
      <c r="J10" s="53"/>
      <c r="K10" s="27">
        <v>19.807608</v>
      </c>
      <c r="L10" s="27">
        <v>85.825254</v>
      </c>
      <c r="M10" s="27"/>
      <c r="N10" s="54"/>
      <c r="O10" s="55"/>
      <c r="P10" s="29" t="s">
        <v>227</v>
      </c>
      <c r="Q10" s="56" t="s">
        <v>228</v>
      </c>
      <c r="R10" s="57" t="s">
        <v>229</v>
      </c>
      <c r="S10" s="30">
        <v>15.0</v>
      </c>
    </row>
    <row r="11">
      <c r="A11" s="23">
        <v>58.0</v>
      </c>
      <c r="B11" s="27" t="s">
        <v>230</v>
      </c>
      <c r="C11" s="26" t="s">
        <v>231</v>
      </c>
      <c r="D11" s="26">
        <v>2.0</v>
      </c>
      <c r="E11" s="26" t="s">
        <v>203</v>
      </c>
      <c r="F11" s="26">
        <v>68.0</v>
      </c>
      <c r="G11" s="1"/>
      <c r="H11" s="27" t="s">
        <v>230</v>
      </c>
      <c r="I11" s="27">
        <v>21.768855</v>
      </c>
      <c r="J11" s="27">
        <v>83.489652</v>
      </c>
      <c r="K11" s="53"/>
      <c r="L11" s="53"/>
      <c r="M11" s="27"/>
      <c r="N11" s="54"/>
      <c r="O11" s="30" t="s">
        <v>230</v>
      </c>
      <c r="P11" s="58" t="s">
        <v>232</v>
      </c>
      <c r="Q11" s="56" t="s">
        <v>233</v>
      </c>
      <c r="R11" s="57" t="s">
        <v>234</v>
      </c>
      <c r="S11" s="30">
        <v>68.2</v>
      </c>
    </row>
    <row r="12">
      <c r="A12" s="23">
        <v>59.0</v>
      </c>
      <c r="B12" s="27" t="s">
        <v>235</v>
      </c>
      <c r="C12" s="26" t="s">
        <v>236</v>
      </c>
      <c r="D12" s="26">
        <v>4.0</v>
      </c>
      <c r="E12" s="26" t="s">
        <v>203</v>
      </c>
      <c r="F12" s="26">
        <v>41.73</v>
      </c>
      <c r="G12" s="1"/>
      <c r="H12" s="27" t="s">
        <v>235</v>
      </c>
      <c r="I12" s="27">
        <v>20.93223</v>
      </c>
      <c r="J12" s="27">
        <v>85.200582</v>
      </c>
      <c r="K12" s="53"/>
      <c r="L12" s="53"/>
      <c r="M12" s="27"/>
      <c r="N12" s="54"/>
      <c r="O12" s="30" t="s">
        <v>235</v>
      </c>
      <c r="P12" s="29" t="s">
        <v>230</v>
      </c>
      <c r="Q12" s="56" t="s">
        <v>237</v>
      </c>
      <c r="R12" s="57" t="s">
        <v>238</v>
      </c>
      <c r="S12" s="30">
        <v>44.1</v>
      </c>
    </row>
    <row r="13">
      <c r="A13" s="32">
        <v>60.0</v>
      </c>
      <c r="B13" s="53"/>
      <c r="C13" s="25" t="s">
        <v>239</v>
      </c>
      <c r="D13" s="26">
        <v>4.0</v>
      </c>
      <c r="E13" s="26" t="s">
        <v>203</v>
      </c>
      <c r="F13" s="26">
        <v>51.1</v>
      </c>
      <c r="G13" s="1"/>
      <c r="H13" s="53"/>
      <c r="I13" s="27">
        <v>20.930734</v>
      </c>
      <c r="J13" s="27">
        <v>85.54665</v>
      </c>
      <c r="K13" s="27">
        <v>20.44357</v>
      </c>
      <c r="L13" s="27">
        <v>85.897359</v>
      </c>
      <c r="M13" s="27"/>
      <c r="N13" s="54"/>
      <c r="O13" s="55"/>
      <c r="P13" s="29" t="s">
        <v>230</v>
      </c>
      <c r="Q13" s="56" t="s">
        <v>240</v>
      </c>
      <c r="R13" s="57" t="s">
        <v>241</v>
      </c>
      <c r="S13" s="30">
        <v>53.3</v>
      </c>
    </row>
    <row r="14">
      <c r="A14" s="23">
        <v>61.0</v>
      </c>
      <c r="B14" s="27" t="s">
        <v>204</v>
      </c>
      <c r="C14" s="26" t="s">
        <v>242</v>
      </c>
      <c r="D14" s="26">
        <v>6.0</v>
      </c>
      <c r="E14" s="26" t="s">
        <v>203</v>
      </c>
      <c r="F14" s="26">
        <v>67.0</v>
      </c>
      <c r="G14" s="1"/>
      <c r="H14" s="27" t="s">
        <v>204</v>
      </c>
      <c r="I14" s="27">
        <v>20.260296</v>
      </c>
      <c r="J14" s="27">
        <v>85.839452</v>
      </c>
      <c r="K14" s="27">
        <v>20.739617</v>
      </c>
      <c r="L14" s="27">
        <v>86.045493</v>
      </c>
      <c r="M14" s="27"/>
      <c r="N14" s="54"/>
      <c r="O14" s="30" t="s">
        <v>204</v>
      </c>
      <c r="P14" s="30" t="s">
        <v>204</v>
      </c>
      <c r="Q14" s="56" t="s">
        <v>243</v>
      </c>
      <c r="R14" s="57" t="s">
        <v>244</v>
      </c>
      <c r="S14" s="30">
        <v>67.0</v>
      </c>
    </row>
    <row r="15">
      <c r="A15" s="32">
        <v>62.0</v>
      </c>
      <c r="B15" s="27" t="s">
        <v>144</v>
      </c>
      <c r="C15" s="26" t="s">
        <v>245</v>
      </c>
      <c r="D15" s="26">
        <v>4.0</v>
      </c>
      <c r="E15" s="26" t="s">
        <v>203</v>
      </c>
      <c r="F15" s="26">
        <v>29.1</v>
      </c>
      <c r="G15" s="1"/>
      <c r="H15" s="27" t="s">
        <v>144</v>
      </c>
      <c r="I15" s="53"/>
      <c r="J15" s="53"/>
      <c r="K15" s="53"/>
      <c r="L15" s="53"/>
      <c r="M15" s="27"/>
      <c r="N15" s="54"/>
      <c r="O15" s="30" t="s">
        <v>144</v>
      </c>
      <c r="P15" s="29" t="s">
        <v>246</v>
      </c>
      <c r="Q15" s="56" t="s">
        <v>247</v>
      </c>
      <c r="R15" s="57" t="s">
        <v>248</v>
      </c>
      <c r="S15" s="30">
        <v>36.0</v>
      </c>
    </row>
    <row r="16">
      <c r="A16" s="32">
        <v>63.0</v>
      </c>
      <c r="B16" s="53"/>
      <c r="C16" s="25" t="s">
        <v>249</v>
      </c>
      <c r="D16" s="26">
        <v>4.0</v>
      </c>
      <c r="E16" s="26" t="s">
        <v>203</v>
      </c>
      <c r="F16" s="26">
        <v>46.95</v>
      </c>
      <c r="G16" s="1"/>
      <c r="H16" s="53"/>
      <c r="I16" s="53"/>
      <c r="J16" s="53"/>
      <c r="K16" s="53"/>
      <c r="L16" s="53"/>
      <c r="M16" s="27"/>
      <c r="N16" s="54"/>
      <c r="O16" s="55"/>
      <c r="P16" s="29" t="s">
        <v>246</v>
      </c>
      <c r="Q16" s="56" t="s">
        <v>250</v>
      </c>
      <c r="R16" s="57" t="s">
        <v>251</v>
      </c>
      <c r="S16" s="30">
        <v>47.0</v>
      </c>
    </row>
    <row r="17">
      <c r="A17" s="23">
        <v>64.0</v>
      </c>
      <c r="B17" s="53"/>
      <c r="C17" s="25" t="s">
        <v>252</v>
      </c>
      <c r="D17" s="26">
        <v>4.0</v>
      </c>
      <c r="E17" s="26" t="s">
        <v>203</v>
      </c>
      <c r="F17" s="26">
        <v>50.75</v>
      </c>
      <c r="G17" s="1"/>
      <c r="H17" s="53"/>
      <c r="I17" s="53"/>
      <c r="J17" s="53"/>
      <c r="K17" s="27">
        <v>21.557061</v>
      </c>
      <c r="L17" s="27">
        <v>84.152851</v>
      </c>
      <c r="M17" s="27"/>
      <c r="N17" s="54"/>
      <c r="O17" s="55"/>
      <c r="P17" s="29" t="s">
        <v>253</v>
      </c>
      <c r="Q17" s="56" t="s">
        <v>214</v>
      </c>
      <c r="R17" s="57" t="s">
        <v>254</v>
      </c>
      <c r="S17" s="30">
        <v>73.0</v>
      </c>
    </row>
    <row r="18">
      <c r="A18" s="23">
        <v>65.0</v>
      </c>
      <c r="B18" s="27" t="s">
        <v>255</v>
      </c>
      <c r="C18" s="26" t="s">
        <v>256</v>
      </c>
      <c r="D18" s="26">
        <v>4.0</v>
      </c>
      <c r="E18" s="26" t="s">
        <v>203</v>
      </c>
      <c r="F18" s="26">
        <v>53.25</v>
      </c>
      <c r="G18" s="1"/>
      <c r="H18" s="27" t="s">
        <v>255</v>
      </c>
      <c r="I18" s="27">
        <v>21.920434</v>
      </c>
      <c r="J18" s="27">
        <v>85.276923</v>
      </c>
      <c r="K18" s="27">
        <v>20.44357</v>
      </c>
      <c r="L18" s="27">
        <v>85.897359</v>
      </c>
      <c r="M18" s="27"/>
      <c r="N18" s="54"/>
      <c r="O18" s="30" t="s">
        <v>255</v>
      </c>
      <c r="P18" s="29" t="s">
        <v>257</v>
      </c>
      <c r="Q18" s="56" t="s">
        <v>258</v>
      </c>
      <c r="R18" s="57" t="s">
        <v>259</v>
      </c>
      <c r="S18" s="30">
        <v>52.0</v>
      </c>
    </row>
    <row r="19">
      <c r="A19" s="23">
        <v>66.0</v>
      </c>
      <c r="B19" s="27" t="s">
        <v>227</v>
      </c>
      <c r="C19" s="26" t="s">
        <v>260</v>
      </c>
      <c r="D19" s="26">
        <v>4.0</v>
      </c>
      <c r="E19" s="26" t="s">
        <v>203</v>
      </c>
      <c r="F19" s="26">
        <v>56.5</v>
      </c>
      <c r="G19" s="1"/>
      <c r="H19" s="27" t="s">
        <v>227</v>
      </c>
      <c r="I19" s="53"/>
      <c r="J19" s="53"/>
      <c r="K19" s="27">
        <v>19.807608</v>
      </c>
      <c r="L19" s="27">
        <v>85.825254</v>
      </c>
      <c r="M19" s="27"/>
      <c r="N19" s="54"/>
      <c r="O19" s="30" t="s">
        <v>227</v>
      </c>
      <c r="P19" s="30" t="s">
        <v>227</v>
      </c>
      <c r="Q19" s="56" t="s">
        <v>261</v>
      </c>
      <c r="R19" s="57" t="s">
        <v>262</v>
      </c>
      <c r="S19" s="30">
        <v>58.0</v>
      </c>
    </row>
    <row r="20">
      <c r="A20" s="23">
        <v>67.0</v>
      </c>
      <c r="B20" s="53"/>
      <c r="C20" s="25" t="s">
        <v>263</v>
      </c>
      <c r="D20" s="26">
        <v>4.0</v>
      </c>
      <c r="E20" s="26" t="s">
        <v>203</v>
      </c>
      <c r="F20" s="26">
        <v>64.4</v>
      </c>
      <c r="G20" s="1"/>
      <c r="H20" s="53"/>
      <c r="I20" s="27">
        <v>19.392326</v>
      </c>
      <c r="J20" s="27">
        <v>85.063361</v>
      </c>
      <c r="K20" s="53"/>
      <c r="L20" s="53"/>
      <c r="M20" s="27"/>
      <c r="N20" s="54"/>
      <c r="O20" s="55"/>
      <c r="P20" s="29" t="s">
        <v>204</v>
      </c>
      <c r="Q20" s="56" t="s">
        <v>264</v>
      </c>
      <c r="R20" s="57" t="s">
        <v>265</v>
      </c>
      <c r="S20" s="30">
        <v>54.0</v>
      </c>
    </row>
    <row r="21">
      <c r="A21" s="23">
        <v>68.0</v>
      </c>
      <c r="B21" s="27" t="s">
        <v>221</v>
      </c>
      <c r="C21" s="26" t="s">
        <v>266</v>
      </c>
      <c r="D21" s="26">
        <v>6.0</v>
      </c>
      <c r="E21" s="26" t="s">
        <v>203</v>
      </c>
      <c r="F21" s="26">
        <v>75.36</v>
      </c>
      <c r="G21" s="1"/>
      <c r="H21" s="27" t="s">
        <v>221</v>
      </c>
      <c r="I21" s="27">
        <v>19.392326</v>
      </c>
      <c r="J21" s="27">
        <v>85.063361</v>
      </c>
      <c r="K21" s="27">
        <v>19.894859</v>
      </c>
      <c r="L21" s="27">
        <v>85.429795</v>
      </c>
      <c r="M21" s="27"/>
      <c r="N21" s="54"/>
      <c r="O21" s="30" t="s">
        <v>221</v>
      </c>
      <c r="P21" s="29" t="s">
        <v>204</v>
      </c>
      <c r="Q21" s="56" t="s">
        <v>267</v>
      </c>
      <c r="R21" s="57" t="s">
        <v>268</v>
      </c>
      <c r="S21" s="30">
        <v>72.0</v>
      </c>
    </row>
    <row r="22">
      <c r="A22" s="33">
        <v>69.0</v>
      </c>
      <c r="B22" s="33" t="s">
        <v>196</v>
      </c>
      <c r="C22" s="33" t="s">
        <v>269</v>
      </c>
      <c r="D22" s="33">
        <v>2.0</v>
      </c>
      <c r="E22" s="33" t="s">
        <v>203</v>
      </c>
      <c r="F22" s="33">
        <v>26.026</v>
      </c>
      <c r="G22" s="1"/>
      <c r="H22" s="33" t="s">
        <v>196</v>
      </c>
      <c r="I22" s="59"/>
      <c r="J22" s="59"/>
      <c r="K22" s="33">
        <v>21.557061</v>
      </c>
      <c r="L22" s="33">
        <v>84.152851</v>
      </c>
      <c r="M22" s="59"/>
      <c r="N22" s="54"/>
      <c r="O22" s="33" t="s">
        <v>196</v>
      </c>
      <c r="P22" s="59"/>
      <c r="Q22" s="59"/>
      <c r="R22" s="59"/>
      <c r="S22" s="59"/>
    </row>
    <row r="23">
      <c r="A23" s="23">
        <v>70.0</v>
      </c>
      <c r="B23" s="27" t="s">
        <v>255</v>
      </c>
      <c r="C23" s="26" t="s">
        <v>270</v>
      </c>
      <c r="D23" s="26">
        <v>4.0</v>
      </c>
      <c r="E23" s="26" t="s">
        <v>203</v>
      </c>
      <c r="F23" s="26">
        <v>43.2</v>
      </c>
      <c r="G23" s="1"/>
      <c r="H23" s="27" t="s">
        <v>255</v>
      </c>
      <c r="I23" s="27">
        <v>21.947187</v>
      </c>
      <c r="J23" s="27">
        <v>85.249235</v>
      </c>
      <c r="K23" s="53"/>
      <c r="L23" s="53"/>
      <c r="M23" s="27"/>
      <c r="N23" s="54"/>
      <c r="O23" s="30" t="s">
        <v>255</v>
      </c>
      <c r="P23" s="29" t="s">
        <v>257</v>
      </c>
      <c r="Q23" s="56" t="s">
        <v>271</v>
      </c>
      <c r="R23" s="57" t="s">
        <v>272</v>
      </c>
      <c r="S23" s="30">
        <v>52.3</v>
      </c>
    </row>
    <row r="24">
      <c r="A24" s="23">
        <v>71.0</v>
      </c>
      <c r="B24" s="27" t="s">
        <v>253</v>
      </c>
      <c r="C24" s="26" t="s">
        <v>273</v>
      </c>
      <c r="D24" s="26">
        <v>4.0</v>
      </c>
      <c r="E24" s="26" t="s">
        <v>203</v>
      </c>
      <c r="F24" s="26">
        <v>76.588</v>
      </c>
      <c r="G24" s="1"/>
      <c r="H24" s="27" t="s">
        <v>253</v>
      </c>
      <c r="I24" s="53"/>
      <c r="J24" s="53"/>
      <c r="K24" s="27">
        <v>20.286946</v>
      </c>
      <c r="L24" s="27">
        <v>86.673998</v>
      </c>
      <c r="M24" s="27"/>
      <c r="N24" s="54"/>
      <c r="O24" s="30" t="s">
        <v>253</v>
      </c>
      <c r="P24" s="30" t="s">
        <v>274</v>
      </c>
      <c r="Q24" s="56" t="s">
        <v>275</v>
      </c>
      <c r="R24" s="57" t="s">
        <v>276</v>
      </c>
      <c r="S24" s="30">
        <v>78.5</v>
      </c>
    </row>
    <row r="25">
      <c r="A25" s="23">
        <v>72.0</v>
      </c>
      <c r="B25" s="27" t="s">
        <v>221</v>
      </c>
      <c r="C25" s="26" t="s">
        <v>277</v>
      </c>
      <c r="D25" s="26">
        <v>6.0</v>
      </c>
      <c r="E25" s="26" t="s">
        <v>203</v>
      </c>
      <c r="F25" s="26">
        <v>56.78</v>
      </c>
      <c r="G25" s="1"/>
      <c r="H25" s="27" t="s">
        <v>221</v>
      </c>
      <c r="I25" s="27">
        <v>19.894859</v>
      </c>
      <c r="J25" s="27">
        <v>85.429795</v>
      </c>
      <c r="K25" s="27">
        <v>20.260296</v>
      </c>
      <c r="L25" s="27">
        <v>85.839452</v>
      </c>
      <c r="M25" s="27"/>
      <c r="N25" s="54"/>
      <c r="O25" s="30" t="s">
        <v>221</v>
      </c>
      <c r="P25" s="29" t="s">
        <v>204</v>
      </c>
      <c r="Q25" s="56" t="s">
        <v>278</v>
      </c>
      <c r="R25" s="57" t="s">
        <v>279</v>
      </c>
      <c r="S25" s="30">
        <v>64.0</v>
      </c>
    </row>
    <row r="26">
      <c r="D26" s="4"/>
      <c r="F26" s="44">
        <f>SUM(F4:F25)</f>
        <v>1355.491</v>
      </c>
      <c r="G26" s="1"/>
      <c r="N26" s="54"/>
      <c r="S26" s="44">
        <f>SUM(S4:S25)</f>
        <v>1489.3</v>
      </c>
    </row>
    <row r="27">
      <c r="D27" s="4"/>
      <c r="G27" s="1"/>
      <c r="N27" s="54"/>
    </row>
    <row r="28">
      <c r="D28" s="4"/>
      <c r="N28" s="5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  <c r="H34" s="44">
        <f>sum(S26-F26)</f>
        <v>133.809</v>
      </c>
    </row>
    <row r="35">
      <c r="D35" s="4"/>
    </row>
    <row r="36">
      <c r="D36" s="4"/>
    </row>
    <row r="37">
      <c r="D37" s="4"/>
    </row>
    <row r="38">
      <c r="D38" s="4"/>
      <c r="H38" s="43">
        <v>133.809</v>
      </c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mergeCells count="3">
    <mergeCell ref="C1:F1"/>
    <mergeCell ref="H1:M1"/>
    <mergeCell ref="O1:S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60.63"/>
    <col customWidth="1" min="13" max="13" width="35.13"/>
    <col customWidth="1" min="16" max="16" width="16.5"/>
    <col customWidth="1" min="17" max="17" width="20.25"/>
    <col customWidth="1" min="18" max="18" width="19.75"/>
    <col customWidth="1" min="19" max="19" width="41.63"/>
  </cols>
  <sheetData>
    <row r="1">
      <c r="A1" s="1"/>
      <c r="B1" s="1"/>
      <c r="C1" s="6" t="s">
        <v>0</v>
      </c>
      <c r="G1" s="1"/>
      <c r="H1" s="3" t="s">
        <v>1</v>
      </c>
      <c r="O1" s="5" t="s">
        <v>2</v>
      </c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  <c r="U2" s="5"/>
    </row>
    <row r="3">
      <c r="A3" s="8">
        <v>1.0</v>
      </c>
      <c r="B3" s="9" t="s">
        <v>135</v>
      </c>
      <c r="C3" s="10" t="s">
        <v>280</v>
      </c>
      <c r="D3" s="10">
        <v>6.0</v>
      </c>
      <c r="E3" s="10" t="s">
        <v>281</v>
      </c>
      <c r="F3" s="10">
        <v>124.48</v>
      </c>
      <c r="G3" s="1"/>
      <c r="H3" s="9" t="s">
        <v>135</v>
      </c>
      <c r="I3" s="9">
        <v>27.175255</v>
      </c>
      <c r="J3" s="9">
        <v>78.009816</v>
      </c>
      <c r="K3" s="9">
        <v>26.537036</v>
      </c>
      <c r="L3" s="9">
        <v>79.153905</v>
      </c>
      <c r="M3" s="9">
        <v>122.0</v>
      </c>
      <c r="N3" s="60"/>
      <c r="O3" s="11" t="s">
        <v>135</v>
      </c>
      <c r="P3" s="49"/>
      <c r="Q3" s="49" t="s">
        <v>282</v>
      </c>
      <c r="R3" s="49" t="s">
        <v>283</v>
      </c>
      <c r="S3" s="11">
        <v>122.0</v>
      </c>
      <c r="U3" s="11"/>
    </row>
    <row r="4">
      <c r="A4" s="8">
        <v>2.0</v>
      </c>
      <c r="B4" s="9" t="s">
        <v>284</v>
      </c>
      <c r="C4" s="10" t="s">
        <v>285</v>
      </c>
      <c r="D4" s="10">
        <v>6.0</v>
      </c>
      <c r="E4" s="10" t="s">
        <v>281</v>
      </c>
      <c r="F4" s="10">
        <v>160.21</v>
      </c>
      <c r="G4" s="1"/>
      <c r="H4" s="9" t="s">
        <v>284</v>
      </c>
      <c r="I4" s="9">
        <v>26.715563</v>
      </c>
      <c r="J4" s="9">
        <v>79.09171</v>
      </c>
      <c r="K4" s="9">
        <v>26.379609</v>
      </c>
      <c r="L4" s="9">
        <v>80.408615</v>
      </c>
      <c r="M4" s="9">
        <v>166.0</v>
      </c>
      <c r="N4" s="60"/>
      <c r="O4" s="11" t="s">
        <v>284</v>
      </c>
      <c r="P4" s="49"/>
      <c r="Q4" s="49" t="s">
        <v>286</v>
      </c>
      <c r="R4" s="49" t="s">
        <v>287</v>
      </c>
      <c r="S4" s="11">
        <v>166.0</v>
      </c>
      <c r="U4" s="11"/>
    </row>
    <row r="5">
      <c r="A5" s="21">
        <v>3.0</v>
      </c>
      <c r="B5" s="14"/>
      <c r="C5" s="10" t="s">
        <v>288</v>
      </c>
      <c r="D5" s="10">
        <v>4.0</v>
      </c>
      <c r="E5" s="10" t="s">
        <v>281</v>
      </c>
      <c r="F5" s="10">
        <v>84.708</v>
      </c>
      <c r="G5" s="1"/>
      <c r="H5" s="14"/>
      <c r="I5" s="14"/>
      <c r="J5" s="14"/>
      <c r="K5" s="9">
        <v>28.478588</v>
      </c>
      <c r="L5" s="9">
        <v>77.481369</v>
      </c>
      <c r="M5" s="9">
        <v>84.7</v>
      </c>
      <c r="N5" s="60"/>
      <c r="O5" s="17"/>
      <c r="P5" s="49"/>
      <c r="Q5" s="49" t="s">
        <v>289</v>
      </c>
      <c r="R5" s="49" t="s">
        <v>290</v>
      </c>
      <c r="S5" s="11">
        <v>84.7</v>
      </c>
      <c r="U5" s="11"/>
    </row>
    <row r="6">
      <c r="A6" s="8">
        <v>4.0</v>
      </c>
      <c r="B6" s="14"/>
      <c r="C6" s="10" t="s">
        <v>291</v>
      </c>
      <c r="D6" s="10">
        <v>6.0</v>
      </c>
      <c r="E6" s="10" t="s">
        <v>281</v>
      </c>
      <c r="F6" s="10">
        <v>72.644</v>
      </c>
      <c r="G6" s="1"/>
      <c r="H6" s="14"/>
      <c r="I6" s="9">
        <v>25.43533</v>
      </c>
      <c r="J6" s="9">
        <v>82.18906</v>
      </c>
      <c r="K6" s="9">
        <v>25.335649</v>
      </c>
      <c r="L6" s="9">
        <v>83.007629</v>
      </c>
      <c r="M6" s="9">
        <v>83.0</v>
      </c>
      <c r="N6" s="60"/>
      <c r="O6" s="17"/>
      <c r="P6" s="49"/>
      <c r="Q6" s="49" t="s">
        <v>292</v>
      </c>
      <c r="R6" s="49" t="s">
        <v>293</v>
      </c>
      <c r="S6" s="11">
        <v>83.0</v>
      </c>
      <c r="U6" s="11"/>
    </row>
    <row r="7">
      <c r="A7" s="8">
        <v>5.0</v>
      </c>
      <c r="B7" s="14"/>
      <c r="C7" s="10" t="s">
        <v>294</v>
      </c>
      <c r="D7" s="10">
        <v>4.0</v>
      </c>
      <c r="E7" s="10" t="s">
        <v>281</v>
      </c>
      <c r="F7" s="10">
        <v>17.0</v>
      </c>
      <c r="G7" s="1"/>
      <c r="H7" s="14"/>
      <c r="I7" s="9">
        <v>25.381487</v>
      </c>
      <c r="J7" s="9">
        <v>83.053391</v>
      </c>
      <c r="K7" s="61"/>
      <c r="L7" s="14"/>
      <c r="M7" s="9">
        <v>20.0</v>
      </c>
      <c r="N7" s="60"/>
      <c r="O7" s="17"/>
      <c r="P7" s="49"/>
      <c r="Q7" s="49" t="s">
        <v>295</v>
      </c>
      <c r="R7" s="49" t="s">
        <v>296</v>
      </c>
      <c r="S7" s="11">
        <v>20.0</v>
      </c>
      <c r="U7" s="11"/>
    </row>
    <row r="8">
      <c r="A8" s="21">
        <v>6.0</v>
      </c>
      <c r="B8" s="9" t="s">
        <v>135</v>
      </c>
      <c r="C8" s="10" t="s">
        <v>297</v>
      </c>
      <c r="D8" s="10">
        <v>4.0</v>
      </c>
      <c r="E8" s="10" t="s">
        <v>281</v>
      </c>
      <c r="F8" s="10">
        <v>16.98</v>
      </c>
      <c r="G8" s="1"/>
      <c r="H8" s="9" t="s">
        <v>135</v>
      </c>
      <c r="I8" s="14"/>
      <c r="J8" s="14"/>
      <c r="K8" s="52"/>
      <c r="L8" s="14"/>
      <c r="M8" s="9">
        <v>16.0</v>
      </c>
      <c r="N8" s="60"/>
      <c r="O8" s="11" t="s">
        <v>135</v>
      </c>
      <c r="P8" s="49"/>
      <c r="Q8" s="49" t="s">
        <v>298</v>
      </c>
      <c r="R8" s="49" t="s">
        <v>299</v>
      </c>
      <c r="S8" s="11">
        <v>16.0</v>
      </c>
      <c r="U8" s="11"/>
    </row>
    <row r="9">
      <c r="A9" s="8">
        <v>7.0</v>
      </c>
      <c r="B9" s="9" t="s">
        <v>135</v>
      </c>
      <c r="C9" s="10" t="s">
        <v>300</v>
      </c>
      <c r="D9" s="10">
        <v>4.0</v>
      </c>
      <c r="E9" s="10" t="s">
        <v>281</v>
      </c>
      <c r="F9" s="10">
        <v>32.8</v>
      </c>
      <c r="G9" s="1"/>
      <c r="H9" s="9" t="s">
        <v>135</v>
      </c>
      <c r="I9" s="14"/>
      <c r="J9" s="14"/>
      <c r="K9" s="14"/>
      <c r="L9" s="14"/>
      <c r="M9" s="9">
        <v>28.8</v>
      </c>
      <c r="N9" s="60"/>
      <c r="O9" s="11" t="s">
        <v>135</v>
      </c>
      <c r="P9" s="49"/>
      <c r="Q9" s="49" t="s">
        <v>301</v>
      </c>
      <c r="R9" s="49" t="s">
        <v>302</v>
      </c>
      <c r="S9" s="11">
        <v>28.8</v>
      </c>
      <c r="U9" s="11"/>
    </row>
    <row r="10">
      <c r="A10" s="8">
        <v>8.0</v>
      </c>
      <c r="B10" s="14"/>
      <c r="C10" s="10" t="s">
        <v>303</v>
      </c>
      <c r="D10" s="10">
        <v>4.0</v>
      </c>
      <c r="E10" s="10" t="s">
        <v>281</v>
      </c>
      <c r="F10" s="10">
        <v>49.7</v>
      </c>
      <c r="G10" s="1"/>
      <c r="H10" s="14"/>
      <c r="I10" s="9">
        <v>25.529855</v>
      </c>
      <c r="J10" s="9">
        <v>78.65278</v>
      </c>
      <c r="K10" s="9">
        <v>26.46352</v>
      </c>
      <c r="L10" s="9">
        <v>80.246895</v>
      </c>
      <c r="M10" s="9">
        <v>48.7</v>
      </c>
      <c r="N10" s="60"/>
      <c r="O10" s="17"/>
      <c r="P10" s="49"/>
      <c r="Q10" s="49" t="s">
        <v>304</v>
      </c>
      <c r="R10" s="49" t="s">
        <v>305</v>
      </c>
      <c r="S10" s="11">
        <v>48.7</v>
      </c>
      <c r="U10" s="11"/>
    </row>
    <row r="11">
      <c r="A11" s="21">
        <v>9.0</v>
      </c>
      <c r="B11" s="14"/>
      <c r="C11" s="10" t="s">
        <v>306</v>
      </c>
      <c r="D11" s="10">
        <v>4.0</v>
      </c>
      <c r="E11" s="10" t="s">
        <v>281</v>
      </c>
      <c r="F11" s="10">
        <v>49.3</v>
      </c>
      <c r="G11" s="1"/>
      <c r="H11" s="14"/>
      <c r="I11" s="9">
        <v>25.529855</v>
      </c>
      <c r="J11" s="9">
        <v>78.65278</v>
      </c>
      <c r="K11" s="14"/>
      <c r="L11" s="14"/>
      <c r="M11" s="9">
        <v>47.0</v>
      </c>
      <c r="N11" s="60"/>
      <c r="O11" s="17"/>
      <c r="P11" s="49"/>
      <c r="Q11" s="49" t="s">
        <v>307</v>
      </c>
      <c r="R11" s="49" t="s">
        <v>308</v>
      </c>
      <c r="S11" s="11">
        <v>47.0</v>
      </c>
      <c r="U11" s="11"/>
    </row>
    <row r="12">
      <c r="A12" s="8">
        <v>10.0</v>
      </c>
      <c r="B12" s="9" t="s">
        <v>22</v>
      </c>
      <c r="C12" s="10" t="s">
        <v>309</v>
      </c>
      <c r="D12" s="10">
        <v>4.0</v>
      </c>
      <c r="E12" s="10" t="s">
        <v>281</v>
      </c>
      <c r="F12" s="10">
        <v>135.41</v>
      </c>
      <c r="G12" s="1"/>
      <c r="H12" s="9" t="s">
        <v>22</v>
      </c>
      <c r="I12" s="9">
        <v>25.529855</v>
      </c>
      <c r="J12" s="9">
        <v>78.65278</v>
      </c>
      <c r="K12" s="9">
        <v>28.370255</v>
      </c>
      <c r="L12" s="9">
        <v>77.549161</v>
      </c>
      <c r="M12" s="9">
        <v>135.0</v>
      </c>
      <c r="N12" s="60"/>
      <c r="O12" s="11" t="s">
        <v>22</v>
      </c>
      <c r="P12" s="11" t="s">
        <v>22</v>
      </c>
      <c r="Q12" s="62" t="s">
        <v>526</v>
      </c>
      <c r="R12" s="49" t="s">
        <v>527</v>
      </c>
      <c r="S12" s="11">
        <v>135.0</v>
      </c>
      <c r="U12" s="11"/>
    </row>
    <row r="13">
      <c r="A13" s="8">
        <v>11.0</v>
      </c>
      <c r="B13" s="9" t="s">
        <v>312</v>
      </c>
      <c r="C13" s="10" t="s">
        <v>313</v>
      </c>
      <c r="D13" s="10">
        <v>4.0</v>
      </c>
      <c r="E13" s="10" t="s">
        <v>281</v>
      </c>
      <c r="F13" s="10">
        <v>62.8</v>
      </c>
      <c r="G13" s="1"/>
      <c r="H13" s="9" t="s">
        <v>312</v>
      </c>
      <c r="I13" s="9">
        <v>25.935955</v>
      </c>
      <c r="J13" s="9">
        <v>79.424328</v>
      </c>
      <c r="K13" s="9">
        <v>26.46352</v>
      </c>
      <c r="L13" s="9">
        <v>80.246895</v>
      </c>
      <c r="M13" s="9">
        <v>65.0</v>
      </c>
      <c r="N13" s="60"/>
      <c r="O13" s="11" t="s">
        <v>312</v>
      </c>
      <c r="P13" s="49"/>
      <c r="Q13" s="49" t="s">
        <v>314</v>
      </c>
      <c r="R13" s="49" t="s">
        <v>315</v>
      </c>
      <c r="S13" s="11">
        <v>65.0</v>
      </c>
      <c r="U13" s="11"/>
    </row>
    <row r="14">
      <c r="A14" s="21">
        <v>12.0</v>
      </c>
      <c r="B14" s="14"/>
      <c r="C14" s="10" t="s">
        <v>316</v>
      </c>
      <c r="D14" s="10">
        <v>4.0</v>
      </c>
      <c r="E14" s="10" t="s">
        <v>281</v>
      </c>
      <c r="F14" s="10">
        <v>217.315</v>
      </c>
      <c r="G14" s="1"/>
      <c r="H14" s="14"/>
      <c r="I14" s="9">
        <v>26.460914</v>
      </c>
      <c r="J14" s="9">
        <v>80.321759</v>
      </c>
      <c r="K14" s="9">
        <v>28.370448</v>
      </c>
      <c r="L14" s="9">
        <v>77.549224</v>
      </c>
      <c r="M14" s="9">
        <v>217.0</v>
      </c>
      <c r="N14" s="60"/>
      <c r="O14" s="17"/>
      <c r="P14" s="49"/>
      <c r="Q14" s="49" t="s">
        <v>317</v>
      </c>
      <c r="R14" s="49" t="s">
        <v>318</v>
      </c>
      <c r="S14" s="11">
        <v>217.0</v>
      </c>
      <c r="U14" s="11"/>
    </row>
    <row r="15">
      <c r="A15" s="8">
        <v>13.0</v>
      </c>
      <c r="B15" s="9" t="s">
        <v>40</v>
      </c>
      <c r="C15" s="10" t="s">
        <v>319</v>
      </c>
      <c r="D15" s="10">
        <v>4.0</v>
      </c>
      <c r="E15" s="10" t="s">
        <v>281</v>
      </c>
      <c r="F15" s="10">
        <v>14.71</v>
      </c>
      <c r="G15" s="1"/>
      <c r="H15" s="9" t="s">
        <v>40</v>
      </c>
      <c r="I15" s="9">
        <v>26.90356</v>
      </c>
      <c r="J15" s="9">
        <v>80.962603</v>
      </c>
      <c r="K15" s="14"/>
      <c r="L15" s="14"/>
      <c r="M15" s="9">
        <v>15.3</v>
      </c>
      <c r="N15" s="60"/>
      <c r="O15" s="11" t="s">
        <v>40</v>
      </c>
      <c r="P15" s="49"/>
      <c r="Q15" s="49" t="s">
        <v>320</v>
      </c>
      <c r="R15" s="49" t="s">
        <v>321</v>
      </c>
      <c r="S15" s="11">
        <v>15.3</v>
      </c>
      <c r="U15" s="11"/>
    </row>
    <row r="16">
      <c r="A16" s="8">
        <v>14.0</v>
      </c>
      <c r="B16" s="9" t="s">
        <v>40</v>
      </c>
      <c r="C16" s="10" t="s">
        <v>322</v>
      </c>
      <c r="D16" s="10">
        <v>4.0</v>
      </c>
      <c r="E16" s="10" t="s">
        <v>281</v>
      </c>
      <c r="F16" s="10">
        <v>116.1</v>
      </c>
      <c r="G16" s="1"/>
      <c r="H16" s="9" t="s">
        <v>40</v>
      </c>
      <c r="I16" s="9">
        <v>26.799071</v>
      </c>
      <c r="J16" s="9">
        <v>82.205232</v>
      </c>
      <c r="K16" s="9">
        <v>28.524633</v>
      </c>
      <c r="L16" s="9">
        <v>77.574324</v>
      </c>
      <c r="M16" s="9">
        <v>116.0</v>
      </c>
      <c r="N16" s="60"/>
      <c r="O16" s="11" t="s">
        <v>40</v>
      </c>
      <c r="P16" s="11" t="s">
        <v>22</v>
      </c>
      <c r="Q16" s="49" t="s">
        <v>323</v>
      </c>
      <c r="R16" s="49" t="s">
        <v>324</v>
      </c>
      <c r="S16" s="11">
        <v>116.0</v>
      </c>
      <c r="U16" s="11"/>
    </row>
    <row r="17">
      <c r="A17" s="37">
        <v>15.0</v>
      </c>
      <c r="B17" s="37" t="s">
        <v>325</v>
      </c>
      <c r="C17" s="37" t="s">
        <v>326</v>
      </c>
      <c r="D17" s="37">
        <v>4.0</v>
      </c>
      <c r="E17" s="37" t="s">
        <v>281</v>
      </c>
      <c r="F17" s="37">
        <v>17.66</v>
      </c>
      <c r="G17" s="1"/>
      <c r="H17" s="37" t="s">
        <v>325</v>
      </c>
      <c r="I17" s="37">
        <v>26.667798</v>
      </c>
      <c r="J17" s="37">
        <v>83.364233</v>
      </c>
      <c r="K17" s="38"/>
      <c r="L17" s="38"/>
      <c r="M17" s="38"/>
      <c r="N17" s="60"/>
      <c r="O17" s="37" t="s">
        <v>325</v>
      </c>
      <c r="P17" s="63"/>
      <c r="Q17" s="63"/>
      <c r="R17" s="63"/>
      <c r="S17" s="38"/>
      <c r="U17" s="38"/>
    </row>
    <row r="18">
      <c r="A18" s="8">
        <v>16.0</v>
      </c>
      <c r="B18" s="9" t="s">
        <v>40</v>
      </c>
      <c r="C18" s="10" t="s">
        <v>327</v>
      </c>
      <c r="D18" s="10">
        <v>4.0</v>
      </c>
      <c r="E18" s="10" t="s">
        <v>281</v>
      </c>
      <c r="F18" s="10">
        <v>32.27</v>
      </c>
      <c r="G18" s="1"/>
      <c r="H18" s="9" t="s">
        <v>40</v>
      </c>
      <c r="I18" s="14"/>
      <c r="J18" s="14"/>
      <c r="K18" s="14"/>
      <c r="L18" s="14"/>
      <c r="M18" s="9">
        <v>32.3</v>
      </c>
      <c r="N18" s="60"/>
      <c r="O18" s="11" t="s">
        <v>40</v>
      </c>
      <c r="P18" s="49"/>
      <c r="Q18" s="11" t="s">
        <v>328</v>
      </c>
      <c r="R18" s="11" t="s">
        <v>329</v>
      </c>
      <c r="S18" s="11">
        <v>32.3</v>
      </c>
      <c r="U18" s="11"/>
    </row>
    <row r="19">
      <c r="A19" s="8">
        <v>17.0</v>
      </c>
      <c r="B19" s="14"/>
      <c r="C19" s="10" t="s">
        <v>330</v>
      </c>
      <c r="D19" s="10">
        <v>4.0</v>
      </c>
      <c r="E19" s="10" t="s">
        <v>281</v>
      </c>
      <c r="F19" s="10">
        <v>81.12</v>
      </c>
      <c r="G19" s="1"/>
      <c r="H19" s="14"/>
      <c r="I19" s="9">
        <v>26.667798</v>
      </c>
      <c r="J19" s="9">
        <v>83.364233</v>
      </c>
      <c r="K19" s="9">
        <v>26.842091</v>
      </c>
      <c r="L19" s="9">
        <v>80.947821</v>
      </c>
      <c r="M19" s="9">
        <v>76.7</v>
      </c>
      <c r="N19" s="60"/>
      <c r="O19" s="17"/>
      <c r="P19" s="49"/>
      <c r="Q19" s="11" t="s">
        <v>331</v>
      </c>
      <c r="R19" s="11" t="s">
        <v>332</v>
      </c>
      <c r="S19" s="11">
        <v>76.7</v>
      </c>
      <c r="U19" s="11"/>
    </row>
    <row r="20">
      <c r="A20" s="21">
        <v>18.0</v>
      </c>
      <c r="B20" s="14"/>
      <c r="C20" s="10" t="s">
        <v>333</v>
      </c>
      <c r="D20" s="10">
        <v>4.0</v>
      </c>
      <c r="E20" s="10" t="s">
        <v>281</v>
      </c>
      <c r="F20" s="10">
        <v>43.4</v>
      </c>
      <c r="G20" s="1"/>
      <c r="H20" s="14"/>
      <c r="I20" s="9">
        <v>25.992939</v>
      </c>
      <c r="J20" s="9">
        <v>81.660411</v>
      </c>
      <c r="K20" s="9">
        <v>26.796123</v>
      </c>
      <c r="L20" s="9">
        <v>82.194286</v>
      </c>
      <c r="M20" s="14"/>
      <c r="N20" s="60"/>
      <c r="O20" s="17"/>
      <c r="P20" s="49"/>
      <c r="Q20" s="11" t="s">
        <v>334</v>
      </c>
      <c r="R20" s="11" t="s">
        <v>335</v>
      </c>
      <c r="S20" s="11">
        <v>227.0</v>
      </c>
      <c r="U20" s="11"/>
    </row>
    <row r="21">
      <c r="A21" s="8">
        <v>19.0</v>
      </c>
      <c r="B21" s="14"/>
      <c r="C21" s="10" t="s">
        <v>336</v>
      </c>
      <c r="D21" s="10">
        <v>4.0</v>
      </c>
      <c r="E21" s="10" t="s">
        <v>281</v>
      </c>
      <c r="F21" s="10">
        <v>47.7</v>
      </c>
      <c r="G21" s="1"/>
      <c r="H21" s="14"/>
      <c r="I21" s="14"/>
      <c r="J21" s="14"/>
      <c r="K21" s="9">
        <v>25.992939</v>
      </c>
      <c r="L21" s="9">
        <v>81.660411</v>
      </c>
      <c r="M21" s="9">
        <v>54.0</v>
      </c>
      <c r="N21" s="60"/>
      <c r="O21" s="17"/>
      <c r="P21" s="49"/>
      <c r="Q21" s="11" t="s">
        <v>337</v>
      </c>
      <c r="R21" s="11" t="s">
        <v>338</v>
      </c>
      <c r="S21" s="11">
        <v>54.0</v>
      </c>
      <c r="U21" s="11"/>
    </row>
    <row r="22">
      <c r="A22" s="8">
        <v>20.0</v>
      </c>
      <c r="B22" s="9" t="s">
        <v>339</v>
      </c>
      <c r="C22" s="10" t="s">
        <v>340</v>
      </c>
      <c r="D22" s="10">
        <v>4.0</v>
      </c>
      <c r="E22" s="10" t="s">
        <v>281</v>
      </c>
      <c r="F22" s="10">
        <v>121.8</v>
      </c>
      <c r="G22" s="1"/>
      <c r="H22" s="9" t="s">
        <v>339</v>
      </c>
      <c r="I22" s="9">
        <v>28.833498</v>
      </c>
      <c r="J22" s="9">
        <v>78.773286</v>
      </c>
      <c r="K22" s="9">
        <v>28.458234</v>
      </c>
      <c r="L22" s="9">
        <v>79.404745</v>
      </c>
      <c r="M22" s="14"/>
      <c r="N22" s="60"/>
      <c r="O22" s="11" t="s">
        <v>339</v>
      </c>
      <c r="P22" s="49" t="s">
        <v>341</v>
      </c>
      <c r="Q22" s="11" t="s">
        <v>342</v>
      </c>
      <c r="R22" s="11" t="s">
        <v>343</v>
      </c>
      <c r="S22" s="11">
        <v>122.0</v>
      </c>
      <c r="U22" s="11"/>
    </row>
    <row r="23">
      <c r="A23" s="21">
        <v>21.0</v>
      </c>
      <c r="B23" s="14"/>
      <c r="C23" s="10" t="s">
        <v>344</v>
      </c>
      <c r="D23" s="10">
        <v>4.0</v>
      </c>
      <c r="E23" s="10" t="s">
        <v>281</v>
      </c>
      <c r="F23" s="10">
        <v>75.93</v>
      </c>
      <c r="G23" s="1"/>
      <c r="H23" s="14"/>
      <c r="I23" s="9">
        <v>26.8381</v>
      </c>
      <c r="J23" s="9">
        <v>80.9346</v>
      </c>
      <c r="K23" s="9">
        <v>27.502675</v>
      </c>
      <c r="L23" s="9">
        <v>80.833514</v>
      </c>
      <c r="M23" s="9">
        <v>80.0</v>
      </c>
      <c r="N23" s="60"/>
      <c r="O23" s="17"/>
      <c r="P23" s="49"/>
      <c r="Q23" s="11" t="s">
        <v>345</v>
      </c>
      <c r="R23" s="11" t="s">
        <v>346</v>
      </c>
      <c r="S23" s="11">
        <v>80.0</v>
      </c>
      <c r="U23" s="11"/>
    </row>
    <row r="24">
      <c r="A24" s="8">
        <v>22.0</v>
      </c>
      <c r="B24" s="14"/>
      <c r="C24" s="10" t="s">
        <v>347</v>
      </c>
      <c r="D24" s="10">
        <v>4.0</v>
      </c>
      <c r="E24" s="10" t="s">
        <v>281</v>
      </c>
      <c r="F24" s="10">
        <v>126.3</v>
      </c>
      <c r="G24" s="1"/>
      <c r="H24" s="14"/>
      <c r="I24" s="9">
        <v>28.774997</v>
      </c>
      <c r="J24" s="9">
        <v>77.458697</v>
      </c>
      <c r="K24" s="9">
        <v>27.876107</v>
      </c>
      <c r="L24" s="9">
        <v>78.135815</v>
      </c>
      <c r="M24" s="9">
        <v>125.0</v>
      </c>
      <c r="N24" s="60"/>
      <c r="O24" s="17"/>
      <c r="P24" s="49"/>
      <c r="Q24" s="11" t="s">
        <v>348</v>
      </c>
      <c r="R24" s="11" t="s">
        <v>349</v>
      </c>
      <c r="S24" s="11">
        <v>125.0</v>
      </c>
      <c r="U24" s="11"/>
    </row>
    <row r="25">
      <c r="A25" s="8">
        <v>23.0</v>
      </c>
      <c r="B25" s="14"/>
      <c r="C25" s="10" t="s">
        <v>350</v>
      </c>
      <c r="D25" s="10">
        <v>4.0</v>
      </c>
      <c r="E25" s="10" t="s">
        <v>281</v>
      </c>
      <c r="F25" s="10">
        <v>45.2</v>
      </c>
      <c r="G25" s="1"/>
      <c r="H25" s="14"/>
      <c r="I25" s="9">
        <v>27.876107</v>
      </c>
      <c r="J25" s="9">
        <v>78.135815</v>
      </c>
      <c r="K25" s="9">
        <v>29.163916</v>
      </c>
      <c r="L25" s="9">
        <v>78.899212</v>
      </c>
      <c r="M25" s="9">
        <v>239.0</v>
      </c>
      <c r="N25" s="60"/>
      <c r="O25" s="17"/>
      <c r="P25" s="49"/>
      <c r="Q25" s="11" t="s">
        <v>351</v>
      </c>
      <c r="R25" s="11" t="s">
        <v>352</v>
      </c>
      <c r="S25" s="11">
        <v>239.0</v>
      </c>
      <c r="U25" s="11"/>
    </row>
    <row r="26">
      <c r="A26" s="21">
        <v>24.0</v>
      </c>
      <c r="B26" s="14"/>
      <c r="C26" s="10" t="s">
        <v>353</v>
      </c>
      <c r="D26" s="10">
        <v>4.0</v>
      </c>
      <c r="E26" s="10" t="s">
        <v>281</v>
      </c>
      <c r="F26" s="10">
        <v>61.2</v>
      </c>
      <c r="G26" s="1"/>
      <c r="H26" s="14"/>
      <c r="I26" s="9">
        <v>27.876107</v>
      </c>
      <c r="J26" s="9">
        <v>78.135815</v>
      </c>
      <c r="K26" s="9">
        <v>27.189236</v>
      </c>
      <c r="L26" s="9">
        <v>79.383696</v>
      </c>
      <c r="M26" s="9">
        <v>133.0</v>
      </c>
      <c r="N26" s="60"/>
      <c r="O26" s="17"/>
      <c r="P26" s="49"/>
      <c r="Q26" s="11" t="s">
        <v>354</v>
      </c>
      <c r="R26" s="11" t="s">
        <v>355</v>
      </c>
      <c r="S26" s="11">
        <v>133.0</v>
      </c>
      <c r="U26" s="11"/>
    </row>
    <row r="27">
      <c r="A27" s="8">
        <v>25.0</v>
      </c>
      <c r="B27" s="9" t="s">
        <v>356</v>
      </c>
      <c r="C27" s="10" t="s">
        <v>357</v>
      </c>
      <c r="D27" s="10">
        <v>4.0</v>
      </c>
      <c r="E27" s="10" t="s">
        <v>281</v>
      </c>
      <c r="F27" s="10">
        <v>61.41</v>
      </c>
      <c r="G27" s="1"/>
      <c r="H27" s="9" t="s">
        <v>356</v>
      </c>
      <c r="I27" s="14"/>
      <c r="J27" s="14"/>
      <c r="K27" s="14"/>
      <c r="L27" s="14"/>
      <c r="M27" s="14"/>
      <c r="N27" s="60"/>
      <c r="O27" s="11" t="s">
        <v>356</v>
      </c>
      <c r="P27" s="64"/>
      <c r="Q27" s="11" t="s">
        <v>358</v>
      </c>
      <c r="R27" s="11" t="s">
        <v>359</v>
      </c>
      <c r="S27" s="11">
        <v>63.0</v>
      </c>
      <c r="U27" s="11"/>
    </row>
    <row r="28">
      <c r="A28" s="8">
        <v>26.0</v>
      </c>
      <c r="B28" s="14"/>
      <c r="C28" s="10" t="s">
        <v>360</v>
      </c>
      <c r="D28" s="10">
        <v>4.0</v>
      </c>
      <c r="E28" s="10" t="s">
        <v>281</v>
      </c>
      <c r="F28" s="10">
        <v>70.0</v>
      </c>
      <c r="G28" s="1"/>
      <c r="H28" s="14"/>
      <c r="I28" s="9">
        <v>26.8381</v>
      </c>
      <c r="J28" s="9">
        <v>80.9346</v>
      </c>
      <c r="K28" s="14"/>
      <c r="L28" s="14"/>
      <c r="M28" s="9">
        <v>80.0</v>
      </c>
      <c r="N28" s="60"/>
      <c r="O28" s="17"/>
      <c r="P28" s="49"/>
      <c r="Q28" s="11" t="s">
        <v>361</v>
      </c>
      <c r="R28" s="11" t="s">
        <v>362</v>
      </c>
      <c r="S28" s="11">
        <v>80.0</v>
      </c>
      <c r="U28" s="11"/>
    </row>
    <row r="29">
      <c r="A29" s="21">
        <v>27.0</v>
      </c>
      <c r="B29" s="14"/>
      <c r="C29" s="10" t="s">
        <v>363</v>
      </c>
      <c r="D29" s="10">
        <v>4.0</v>
      </c>
      <c r="E29" s="10" t="s">
        <v>281</v>
      </c>
      <c r="F29" s="10">
        <v>35.78</v>
      </c>
      <c r="G29" s="1"/>
      <c r="H29" s="14"/>
      <c r="I29" s="9">
        <v>29.390556</v>
      </c>
      <c r="J29" s="9">
        <v>77.136359</v>
      </c>
      <c r="K29" s="9">
        <v>29.481151</v>
      </c>
      <c r="L29" s="9">
        <v>77.290134</v>
      </c>
      <c r="M29" s="9">
        <v>44.0</v>
      </c>
      <c r="N29" s="60"/>
      <c r="O29" s="17"/>
      <c r="P29" s="49"/>
      <c r="Q29" s="11" t="s">
        <v>364</v>
      </c>
      <c r="R29" s="11" t="s">
        <v>364</v>
      </c>
      <c r="S29" s="11">
        <v>44.0</v>
      </c>
      <c r="U29" s="11"/>
    </row>
    <row r="30">
      <c r="A30" s="8">
        <v>28.0</v>
      </c>
      <c r="B30" s="9" t="s">
        <v>22</v>
      </c>
      <c r="C30" s="10" t="s">
        <v>365</v>
      </c>
      <c r="D30" s="10">
        <v>4.0</v>
      </c>
      <c r="E30" s="10" t="s">
        <v>281</v>
      </c>
      <c r="F30" s="10">
        <v>41.34</v>
      </c>
      <c r="G30" s="1"/>
      <c r="H30" s="9" t="s">
        <v>22</v>
      </c>
      <c r="I30" s="9">
        <v>25.43813</v>
      </c>
      <c r="J30" s="9">
        <v>81.8338</v>
      </c>
      <c r="K30" s="14"/>
      <c r="L30" s="14"/>
      <c r="M30" s="9">
        <v>50.0</v>
      </c>
      <c r="N30" s="60"/>
      <c r="O30" s="11" t="s">
        <v>22</v>
      </c>
      <c r="P30" s="11" t="s">
        <v>22</v>
      </c>
      <c r="Q30" s="11" t="s">
        <v>366</v>
      </c>
      <c r="R30" s="11" t="s">
        <v>367</v>
      </c>
      <c r="S30" s="11">
        <v>50.0</v>
      </c>
      <c r="U30" s="11"/>
    </row>
    <row r="31">
      <c r="A31" s="8">
        <v>29.0</v>
      </c>
      <c r="B31" s="9" t="s">
        <v>368</v>
      </c>
      <c r="C31" s="10" t="s">
        <v>369</v>
      </c>
      <c r="D31" s="10">
        <v>4.0</v>
      </c>
      <c r="E31" s="10" t="s">
        <v>281</v>
      </c>
      <c r="F31" s="10">
        <v>127.43</v>
      </c>
      <c r="G31" s="1"/>
      <c r="H31" s="9" t="s">
        <v>368</v>
      </c>
      <c r="I31" s="9">
        <v>26.8381</v>
      </c>
      <c r="J31" s="9">
        <v>80.9346</v>
      </c>
      <c r="K31" s="14"/>
      <c r="L31" s="14"/>
      <c r="M31" s="9">
        <v>133.0</v>
      </c>
      <c r="N31" s="60"/>
      <c r="O31" s="11" t="s">
        <v>368</v>
      </c>
      <c r="P31" s="49"/>
      <c r="Q31" s="11" t="s">
        <v>370</v>
      </c>
      <c r="R31" s="11" t="s">
        <v>371</v>
      </c>
      <c r="S31" s="11">
        <v>133.0</v>
      </c>
      <c r="U31" s="11"/>
    </row>
    <row r="32">
      <c r="A32" s="21">
        <v>30.0</v>
      </c>
      <c r="B32" s="9" t="s">
        <v>372</v>
      </c>
      <c r="C32" s="10" t="s">
        <v>373</v>
      </c>
      <c r="D32" s="10">
        <v>4.0</v>
      </c>
      <c r="E32" s="10" t="s">
        <v>281</v>
      </c>
      <c r="F32" s="10">
        <v>61.19</v>
      </c>
      <c r="G32" s="1"/>
      <c r="H32" s="9" t="s">
        <v>372</v>
      </c>
      <c r="I32" s="14"/>
      <c r="J32" s="14"/>
      <c r="K32" s="9">
        <v>28.524254</v>
      </c>
      <c r="L32" s="9">
        <v>77.599519</v>
      </c>
      <c r="M32" s="9">
        <v>66.0</v>
      </c>
      <c r="N32" s="60"/>
      <c r="O32" s="11" t="s">
        <v>372</v>
      </c>
      <c r="P32" s="49"/>
      <c r="Q32" s="11" t="s">
        <v>374</v>
      </c>
      <c r="R32" s="11" t="s">
        <v>375</v>
      </c>
      <c r="S32" s="11">
        <v>66.0</v>
      </c>
      <c r="U32" s="11"/>
    </row>
    <row r="33">
      <c r="A33" s="8">
        <v>31.0</v>
      </c>
      <c r="B33" s="14"/>
      <c r="C33" s="10" t="s">
        <v>376</v>
      </c>
      <c r="D33" s="10">
        <v>4.0</v>
      </c>
      <c r="E33" s="10" t="s">
        <v>281</v>
      </c>
      <c r="F33" s="10">
        <v>78.31</v>
      </c>
      <c r="G33" s="1"/>
      <c r="H33" s="14"/>
      <c r="I33" s="9">
        <v>29.001856</v>
      </c>
      <c r="J33" s="9">
        <v>77.767967</v>
      </c>
      <c r="K33" s="9">
        <v>29.449698</v>
      </c>
      <c r="L33" s="9">
        <v>77.742933</v>
      </c>
      <c r="M33" s="9">
        <v>56.0</v>
      </c>
      <c r="N33" s="60"/>
      <c r="O33" s="17"/>
      <c r="P33" s="49"/>
      <c r="Q33" s="11" t="s">
        <v>377</v>
      </c>
      <c r="R33" s="11" t="s">
        <v>378</v>
      </c>
      <c r="S33" s="11">
        <v>56.0</v>
      </c>
      <c r="U33" s="11"/>
    </row>
    <row r="34">
      <c r="A34" s="8">
        <v>32.0</v>
      </c>
      <c r="B34" s="14"/>
      <c r="C34" s="10" t="s">
        <v>379</v>
      </c>
      <c r="D34" s="10">
        <v>4.0</v>
      </c>
      <c r="E34" s="10" t="s">
        <v>281</v>
      </c>
      <c r="F34" s="10">
        <v>78.0</v>
      </c>
      <c r="G34" s="1"/>
      <c r="H34" s="14"/>
      <c r="I34" s="9">
        <v>29.001856</v>
      </c>
      <c r="J34" s="9">
        <v>77.767967</v>
      </c>
      <c r="K34" s="14"/>
      <c r="L34" s="14"/>
      <c r="M34" s="9">
        <v>56.0</v>
      </c>
      <c r="N34" s="60"/>
      <c r="O34" s="17"/>
      <c r="P34" s="49"/>
      <c r="Q34" s="11" t="s">
        <v>377</v>
      </c>
      <c r="R34" s="11" t="s">
        <v>378</v>
      </c>
      <c r="S34" s="11">
        <v>56.0</v>
      </c>
      <c r="U34" s="11"/>
    </row>
    <row r="35">
      <c r="A35" s="21">
        <v>33.0</v>
      </c>
      <c r="B35" s="14"/>
      <c r="C35" s="10" t="s">
        <v>380</v>
      </c>
      <c r="D35" s="10">
        <v>4.0</v>
      </c>
      <c r="E35" s="10" t="s">
        <v>281</v>
      </c>
      <c r="F35" s="10">
        <v>72.15</v>
      </c>
      <c r="G35" s="1"/>
      <c r="H35" s="14"/>
      <c r="I35" s="9">
        <v>25.335649</v>
      </c>
      <c r="J35" s="9">
        <v>83.007629</v>
      </c>
      <c r="K35" s="9">
        <v>28.456995</v>
      </c>
      <c r="L35" s="9">
        <v>77.500197</v>
      </c>
      <c r="M35" s="9">
        <v>86.0</v>
      </c>
      <c r="N35" s="60"/>
      <c r="O35" s="17"/>
      <c r="P35" s="49"/>
      <c r="Q35" s="11" t="s">
        <v>381</v>
      </c>
      <c r="R35" s="11" t="s">
        <v>382</v>
      </c>
      <c r="S35" s="11">
        <v>86.0</v>
      </c>
      <c r="U35" s="11"/>
    </row>
    <row r="36">
      <c r="A36" s="8">
        <v>34.0</v>
      </c>
      <c r="B36" s="9" t="s">
        <v>383</v>
      </c>
      <c r="C36" s="10" t="s">
        <v>384</v>
      </c>
      <c r="D36" s="10">
        <v>4.0</v>
      </c>
      <c r="E36" s="10" t="s">
        <v>281</v>
      </c>
      <c r="F36" s="10">
        <v>58.62</v>
      </c>
      <c r="G36" s="1"/>
      <c r="H36" s="9" t="s">
        <v>383</v>
      </c>
      <c r="I36" s="9">
        <v>26.255881</v>
      </c>
      <c r="J36" s="9">
        <v>83.731414</v>
      </c>
      <c r="K36" s="14"/>
      <c r="L36" s="14"/>
      <c r="M36" s="14"/>
      <c r="N36" s="60"/>
      <c r="O36" s="11" t="s">
        <v>383</v>
      </c>
      <c r="P36" s="64"/>
      <c r="Q36" s="11" t="s">
        <v>385</v>
      </c>
      <c r="R36" s="11" t="s">
        <v>386</v>
      </c>
      <c r="S36" s="11">
        <v>60.0</v>
      </c>
      <c r="U36" s="11"/>
    </row>
    <row r="37">
      <c r="A37" s="8">
        <v>35.0</v>
      </c>
      <c r="B37" s="9" t="s">
        <v>387</v>
      </c>
      <c r="C37" s="10" t="s">
        <v>388</v>
      </c>
      <c r="D37" s="10">
        <v>4.0</v>
      </c>
      <c r="E37" s="10" t="s">
        <v>281</v>
      </c>
      <c r="F37" s="10">
        <v>51.45</v>
      </c>
      <c r="G37" s="1"/>
      <c r="H37" s="9" t="s">
        <v>387</v>
      </c>
      <c r="I37" s="9">
        <v>29.974813</v>
      </c>
      <c r="J37" s="9">
        <v>77.663731</v>
      </c>
      <c r="K37" s="14"/>
      <c r="L37" s="14"/>
      <c r="M37" s="9">
        <v>45.0</v>
      </c>
      <c r="N37" s="60"/>
      <c r="O37" s="11" t="s">
        <v>387</v>
      </c>
      <c r="P37" s="49"/>
      <c r="Q37" s="11" t="s">
        <v>389</v>
      </c>
      <c r="R37" s="11" t="s">
        <v>390</v>
      </c>
      <c r="S37" s="11">
        <v>45.0</v>
      </c>
      <c r="U37" s="11"/>
    </row>
    <row r="38">
      <c r="A38" s="21">
        <v>36.0</v>
      </c>
      <c r="B38" s="9" t="s">
        <v>391</v>
      </c>
      <c r="C38" s="10" t="s">
        <v>392</v>
      </c>
      <c r="D38" s="10">
        <v>2.0</v>
      </c>
      <c r="E38" s="10" t="s">
        <v>281</v>
      </c>
      <c r="F38" s="10">
        <v>146.35</v>
      </c>
      <c r="G38" s="1"/>
      <c r="H38" s="9" t="s">
        <v>391</v>
      </c>
      <c r="I38" s="9">
        <v>27.876107</v>
      </c>
      <c r="J38" s="9">
        <v>78.135815</v>
      </c>
      <c r="K38" s="9">
        <v>28.879655</v>
      </c>
      <c r="L38" s="9">
        <v>78.809534</v>
      </c>
      <c r="M38" s="9">
        <v>156.0</v>
      </c>
      <c r="N38" s="60"/>
      <c r="O38" s="11" t="s">
        <v>391</v>
      </c>
      <c r="P38" s="49"/>
      <c r="Q38" s="11" t="s">
        <v>393</v>
      </c>
      <c r="R38" s="11" t="s">
        <v>394</v>
      </c>
      <c r="S38" s="11">
        <v>156.0</v>
      </c>
      <c r="U38" s="11"/>
    </row>
    <row r="39">
      <c r="A39" s="8">
        <v>37.0</v>
      </c>
      <c r="B39" s="9" t="s">
        <v>395</v>
      </c>
      <c r="C39" s="10" t="s">
        <v>396</v>
      </c>
      <c r="D39" s="10">
        <v>2.0</v>
      </c>
      <c r="E39" s="10" t="s">
        <v>281</v>
      </c>
      <c r="F39" s="10">
        <v>166.0</v>
      </c>
      <c r="G39" s="1"/>
      <c r="H39" s="9" t="s">
        <v>395</v>
      </c>
      <c r="I39" s="14"/>
      <c r="J39" s="14"/>
      <c r="K39" s="9">
        <v>25.796706</v>
      </c>
      <c r="L39" s="9">
        <v>82.488899</v>
      </c>
      <c r="M39" s="9">
        <v>193.0</v>
      </c>
      <c r="N39" s="60"/>
      <c r="O39" s="11" t="s">
        <v>395</v>
      </c>
      <c r="P39" s="49"/>
      <c r="Q39" s="11" t="s">
        <v>397</v>
      </c>
      <c r="R39" s="11" t="s">
        <v>398</v>
      </c>
      <c r="S39" s="11">
        <v>193.0</v>
      </c>
      <c r="U39" s="11"/>
    </row>
    <row r="40">
      <c r="A40" s="8">
        <v>38.0</v>
      </c>
      <c r="B40" s="9" t="s">
        <v>383</v>
      </c>
      <c r="C40" s="10" t="s">
        <v>399</v>
      </c>
      <c r="D40" s="10">
        <v>2.0</v>
      </c>
      <c r="E40" s="10" t="s">
        <v>281</v>
      </c>
      <c r="F40" s="10">
        <v>54.36</v>
      </c>
      <c r="G40" s="1"/>
      <c r="H40" s="9" t="s">
        <v>383</v>
      </c>
      <c r="I40" s="9">
        <v>26.957161</v>
      </c>
      <c r="J40" s="9">
        <v>82.862116</v>
      </c>
      <c r="K40" s="14"/>
      <c r="L40" s="14"/>
      <c r="M40" s="9">
        <v>35.0</v>
      </c>
      <c r="N40" s="60"/>
      <c r="O40" s="11" t="s">
        <v>383</v>
      </c>
      <c r="P40" s="49"/>
      <c r="Q40" s="11" t="s">
        <v>400</v>
      </c>
      <c r="R40" s="11" t="s">
        <v>401</v>
      </c>
      <c r="S40" s="11">
        <v>35.0</v>
      </c>
      <c r="U40" s="11"/>
    </row>
    <row r="41">
      <c r="A41" s="21">
        <v>39.0</v>
      </c>
      <c r="B41" s="14"/>
      <c r="C41" s="10" t="s">
        <v>402</v>
      </c>
      <c r="D41" s="10">
        <v>2.0</v>
      </c>
      <c r="E41" s="10" t="s">
        <v>281</v>
      </c>
      <c r="F41" s="10">
        <v>43.78</v>
      </c>
      <c r="G41" s="1"/>
      <c r="H41" s="14"/>
      <c r="I41" s="9">
        <v>27.200948</v>
      </c>
      <c r="J41" s="9">
        <v>77.953974</v>
      </c>
      <c r="K41" s="9">
        <v>29.001856</v>
      </c>
      <c r="L41" s="9">
        <v>77.767967</v>
      </c>
      <c r="M41" s="9">
        <v>50.0</v>
      </c>
      <c r="N41" s="60"/>
      <c r="O41" s="17"/>
      <c r="P41" s="49"/>
      <c r="Q41" s="11" t="s">
        <v>403</v>
      </c>
      <c r="R41" s="11" t="s">
        <v>404</v>
      </c>
      <c r="S41" s="11">
        <v>50.0</v>
      </c>
      <c r="U41" s="11"/>
    </row>
    <row r="42">
      <c r="A42" s="8">
        <v>40.0</v>
      </c>
      <c r="B42" s="9" t="s">
        <v>22</v>
      </c>
      <c r="C42" s="10" t="s">
        <v>405</v>
      </c>
      <c r="D42" s="10">
        <v>4.0</v>
      </c>
      <c r="E42" s="10" t="s">
        <v>281</v>
      </c>
      <c r="F42" s="10">
        <v>5.41</v>
      </c>
      <c r="G42" s="1"/>
      <c r="H42" s="9" t="s">
        <v>22</v>
      </c>
      <c r="I42" s="9">
        <v>27.186145</v>
      </c>
      <c r="J42" s="9">
        <v>78.005859</v>
      </c>
      <c r="K42" s="9">
        <v>26.842091</v>
      </c>
      <c r="L42" s="9">
        <v>80.947821</v>
      </c>
      <c r="M42" s="9">
        <v>6.3</v>
      </c>
      <c r="N42" s="60"/>
      <c r="O42" s="11" t="s">
        <v>22</v>
      </c>
      <c r="P42" s="11" t="s">
        <v>22</v>
      </c>
      <c r="Q42" s="11" t="s">
        <v>406</v>
      </c>
      <c r="R42" s="11" t="s">
        <v>407</v>
      </c>
      <c r="S42" s="11">
        <v>6.3</v>
      </c>
      <c r="U42" s="11"/>
    </row>
    <row r="43">
      <c r="A43" s="8">
        <v>41.0</v>
      </c>
      <c r="B43" s="9" t="s">
        <v>408</v>
      </c>
      <c r="C43" s="10" t="s">
        <v>409</v>
      </c>
      <c r="D43" s="10">
        <v>4.0</v>
      </c>
      <c r="E43" s="10" t="s">
        <v>281</v>
      </c>
      <c r="F43" s="10">
        <v>83.8</v>
      </c>
      <c r="G43" s="1"/>
      <c r="H43" s="9" t="s">
        <v>408</v>
      </c>
      <c r="I43" s="9">
        <v>29.001856</v>
      </c>
      <c r="J43" s="9">
        <v>77.767967</v>
      </c>
      <c r="K43" s="14"/>
      <c r="L43" s="14"/>
      <c r="M43" s="9">
        <v>72.0</v>
      </c>
      <c r="N43" s="60"/>
      <c r="O43" s="11" t="s">
        <v>408</v>
      </c>
      <c r="P43" s="49"/>
      <c r="Q43" s="11" t="s">
        <v>410</v>
      </c>
      <c r="R43" s="11" t="s">
        <v>411</v>
      </c>
      <c r="S43" s="11">
        <v>72.0</v>
      </c>
      <c r="U43" s="11"/>
    </row>
    <row r="44">
      <c r="A44" s="21">
        <v>42.0</v>
      </c>
      <c r="B44" s="14"/>
      <c r="C44" s="10" t="s">
        <v>412</v>
      </c>
      <c r="D44" s="10">
        <v>2.0</v>
      </c>
      <c r="E44" s="10" t="s">
        <v>281</v>
      </c>
      <c r="F44" s="10">
        <v>81.0</v>
      </c>
      <c r="G44" s="1"/>
      <c r="H44" s="14"/>
      <c r="I44" s="9">
        <v>27.175255</v>
      </c>
      <c r="J44" s="9">
        <v>78.009816</v>
      </c>
      <c r="K44" s="9">
        <v>27.876107</v>
      </c>
      <c r="L44" s="9">
        <v>78.135815</v>
      </c>
      <c r="M44" s="9">
        <v>87.0</v>
      </c>
      <c r="N44" s="60"/>
      <c r="O44" s="17"/>
      <c r="P44" s="49"/>
      <c r="Q44" s="11" t="s">
        <v>413</v>
      </c>
      <c r="R44" s="11" t="s">
        <v>414</v>
      </c>
      <c r="S44" s="11">
        <v>87.0</v>
      </c>
      <c r="U44" s="11"/>
    </row>
    <row r="45">
      <c r="A45" s="8">
        <v>43.0</v>
      </c>
      <c r="B45" s="14"/>
      <c r="C45" s="10" t="s">
        <v>415</v>
      </c>
      <c r="D45" s="10">
        <v>6.0</v>
      </c>
      <c r="E45" s="10" t="s">
        <v>281</v>
      </c>
      <c r="F45" s="10">
        <v>45.83</v>
      </c>
      <c r="G45" s="1"/>
      <c r="H45" s="14"/>
      <c r="I45" s="9">
        <v>27.876107</v>
      </c>
      <c r="J45" s="9">
        <v>78.135815</v>
      </c>
      <c r="K45" s="14"/>
      <c r="L45" s="14"/>
      <c r="M45" s="9">
        <v>48.0</v>
      </c>
      <c r="N45" s="60"/>
      <c r="O45" s="17"/>
      <c r="P45" s="49"/>
      <c r="Q45" s="11" t="s">
        <v>416</v>
      </c>
      <c r="R45" s="11" t="s">
        <v>351</v>
      </c>
      <c r="S45" s="11">
        <v>48.0</v>
      </c>
      <c r="U45" s="11"/>
    </row>
    <row r="46">
      <c r="A46" s="8">
        <v>44.0</v>
      </c>
      <c r="B46" s="9" t="s">
        <v>417</v>
      </c>
      <c r="C46" s="10" t="s">
        <v>418</v>
      </c>
      <c r="D46" s="10">
        <v>2.0</v>
      </c>
      <c r="E46" s="10" t="s">
        <v>281</v>
      </c>
      <c r="F46" s="10">
        <v>155.9</v>
      </c>
      <c r="G46" s="1"/>
      <c r="H46" s="9" t="s">
        <v>417</v>
      </c>
      <c r="I46" s="9">
        <v>26.404594</v>
      </c>
      <c r="J46" s="9">
        <v>82.606515</v>
      </c>
      <c r="K46" s="14"/>
      <c r="L46" s="14"/>
      <c r="M46" s="14"/>
      <c r="N46" s="60"/>
      <c r="O46" s="11" t="s">
        <v>417</v>
      </c>
      <c r="P46" s="50"/>
      <c r="Q46" s="11" t="s">
        <v>419</v>
      </c>
      <c r="R46" s="11" t="s">
        <v>420</v>
      </c>
      <c r="S46" s="11">
        <v>170.0</v>
      </c>
      <c r="U46" s="11"/>
    </row>
    <row r="47">
      <c r="A47" s="21">
        <v>45.0</v>
      </c>
      <c r="B47" s="9" t="s">
        <v>421</v>
      </c>
      <c r="C47" s="10" t="s">
        <v>422</v>
      </c>
      <c r="D47" s="10">
        <v>2.0</v>
      </c>
      <c r="E47" s="10" t="s">
        <v>281</v>
      </c>
      <c r="F47" s="10">
        <v>74.46</v>
      </c>
      <c r="G47" s="1"/>
      <c r="H47" s="9" t="s">
        <v>421</v>
      </c>
      <c r="I47" s="14"/>
      <c r="J47" s="14"/>
      <c r="K47" s="9">
        <v>28.458234</v>
      </c>
      <c r="L47" s="9">
        <v>79.404745</v>
      </c>
      <c r="M47" s="9">
        <v>90.8</v>
      </c>
      <c r="N47" s="60"/>
      <c r="O47" s="11" t="s">
        <v>421</v>
      </c>
      <c r="P47" s="64"/>
      <c r="Q47" s="11" t="s">
        <v>423</v>
      </c>
      <c r="R47" s="11" t="s">
        <v>424</v>
      </c>
      <c r="S47" s="11">
        <v>90.8</v>
      </c>
      <c r="U47" s="11"/>
    </row>
    <row r="48">
      <c r="A48" s="8">
        <v>46.0</v>
      </c>
      <c r="B48" s="14"/>
      <c r="C48" s="10" t="s">
        <v>425</v>
      </c>
      <c r="D48" s="10">
        <v>4.0</v>
      </c>
      <c r="E48" s="10" t="s">
        <v>281</v>
      </c>
      <c r="F48" s="10">
        <v>59.92</v>
      </c>
      <c r="G48" s="1"/>
      <c r="H48" s="14"/>
      <c r="I48" s="9">
        <v>26.255881</v>
      </c>
      <c r="J48" s="9">
        <v>83.731414</v>
      </c>
      <c r="K48" s="14"/>
      <c r="L48" s="14"/>
      <c r="M48" s="9">
        <v>167.0</v>
      </c>
      <c r="N48" s="60"/>
      <c r="O48" s="17"/>
      <c r="P48" s="64"/>
      <c r="Q48" s="11" t="s">
        <v>426</v>
      </c>
      <c r="R48" s="11" t="s">
        <v>427</v>
      </c>
      <c r="S48" s="11">
        <v>167.0</v>
      </c>
      <c r="U48" s="11"/>
    </row>
    <row r="49">
      <c r="A49" s="8">
        <v>47.0</v>
      </c>
      <c r="B49" s="14"/>
      <c r="C49" s="10" t="s">
        <v>428</v>
      </c>
      <c r="D49" s="10">
        <v>4.0</v>
      </c>
      <c r="E49" s="10" t="s">
        <v>281</v>
      </c>
      <c r="F49" s="10">
        <v>59.01</v>
      </c>
      <c r="G49" s="1"/>
      <c r="H49" s="14"/>
      <c r="I49" s="9">
        <v>26.255881</v>
      </c>
      <c r="J49" s="9">
        <v>83.731414</v>
      </c>
      <c r="K49" s="9">
        <v>25.335649</v>
      </c>
      <c r="L49" s="9">
        <v>83.007629</v>
      </c>
      <c r="M49" s="9">
        <v>62.1</v>
      </c>
      <c r="N49" s="60"/>
      <c r="O49" s="17"/>
      <c r="P49" s="49"/>
      <c r="Q49" s="11" t="s">
        <v>426</v>
      </c>
      <c r="R49" s="11" t="s">
        <v>427</v>
      </c>
      <c r="S49" s="11">
        <v>62.1</v>
      </c>
      <c r="U49" s="11"/>
    </row>
    <row r="50">
      <c r="A50" s="21">
        <v>48.0</v>
      </c>
      <c r="B50" s="14"/>
      <c r="C50" s="10" t="s">
        <v>429</v>
      </c>
      <c r="D50" s="10">
        <v>4.0</v>
      </c>
      <c r="E50" s="10" t="s">
        <v>281</v>
      </c>
      <c r="F50" s="10">
        <v>74.53</v>
      </c>
      <c r="G50" s="1"/>
      <c r="H50" s="14"/>
      <c r="I50" s="9">
        <v>26.260473</v>
      </c>
      <c r="J50" s="9">
        <v>82.238053</v>
      </c>
      <c r="K50" s="9">
        <v>25.796706</v>
      </c>
      <c r="L50" s="9">
        <v>82.488899</v>
      </c>
      <c r="M50" s="9">
        <v>89.4</v>
      </c>
      <c r="N50" s="60"/>
      <c r="O50" s="17"/>
      <c r="P50" s="65"/>
      <c r="Q50" s="11" t="s">
        <v>430</v>
      </c>
      <c r="R50" s="11" t="s">
        <v>431</v>
      </c>
      <c r="S50" s="11">
        <v>89.4</v>
      </c>
      <c r="U50" s="11"/>
    </row>
    <row r="51">
      <c r="A51" s="8">
        <v>49.0</v>
      </c>
      <c r="B51" s="14"/>
      <c r="C51" s="10" t="s">
        <v>432</v>
      </c>
      <c r="D51" s="10">
        <v>4.0</v>
      </c>
      <c r="E51" s="10" t="s">
        <v>281</v>
      </c>
      <c r="F51" s="10">
        <v>63.36</v>
      </c>
      <c r="G51" s="1"/>
      <c r="H51" s="14"/>
      <c r="I51" s="9">
        <v>26.260473</v>
      </c>
      <c r="J51" s="9">
        <v>82.238053</v>
      </c>
      <c r="K51" s="9">
        <v>25.335649</v>
      </c>
      <c r="L51" s="9">
        <v>83.007629</v>
      </c>
      <c r="M51" s="9">
        <v>152.0</v>
      </c>
      <c r="N51" s="60"/>
      <c r="O51" s="17"/>
      <c r="P51" s="64"/>
      <c r="Q51" s="11" t="s">
        <v>430</v>
      </c>
      <c r="R51" s="11" t="s">
        <v>433</v>
      </c>
      <c r="S51" s="11">
        <v>152.0</v>
      </c>
      <c r="U51" s="11"/>
    </row>
    <row r="52">
      <c r="A52" s="8">
        <v>50.0</v>
      </c>
      <c r="B52" s="9" t="s">
        <v>434</v>
      </c>
      <c r="C52" s="10" t="s">
        <v>435</v>
      </c>
      <c r="D52" s="10">
        <v>4.0</v>
      </c>
      <c r="E52" s="10" t="s">
        <v>281</v>
      </c>
      <c r="F52" s="10">
        <v>60.22</v>
      </c>
      <c r="G52" s="1"/>
      <c r="H52" s="9" t="s">
        <v>434</v>
      </c>
      <c r="I52" s="14"/>
      <c r="J52" s="14"/>
      <c r="K52" s="9">
        <v>26.780799</v>
      </c>
      <c r="L52" s="9">
        <v>82.148659</v>
      </c>
      <c r="M52" s="14"/>
      <c r="N52" s="60"/>
      <c r="O52" s="11" t="s">
        <v>434</v>
      </c>
      <c r="P52" s="50"/>
      <c r="Q52" s="11" t="s">
        <v>436</v>
      </c>
      <c r="R52" s="11" t="s">
        <v>437</v>
      </c>
      <c r="S52" s="11">
        <v>62.0</v>
      </c>
      <c r="U52" s="11"/>
    </row>
    <row r="53">
      <c r="A53" s="21">
        <v>51.0</v>
      </c>
      <c r="B53" s="14"/>
      <c r="C53" s="10" t="s">
        <v>438</v>
      </c>
      <c r="D53" s="10">
        <v>4.0</v>
      </c>
      <c r="E53" s="10" t="s">
        <v>281</v>
      </c>
      <c r="F53" s="10">
        <v>32.9</v>
      </c>
      <c r="G53" s="1"/>
      <c r="H53" s="14"/>
      <c r="I53" s="9">
        <v>26.90356</v>
      </c>
      <c r="J53" s="9">
        <v>80.962603</v>
      </c>
      <c r="K53" s="9">
        <v>27.502675</v>
      </c>
      <c r="L53" s="9">
        <v>80.833514</v>
      </c>
      <c r="M53" s="14"/>
      <c r="N53" s="60"/>
      <c r="O53" s="17"/>
      <c r="P53" s="49"/>
      <c r="Q53" s="11" t="s">
        <v>439</v>
      </c>
      <c r="R53" s="11" t="s">
        <v>440</v>
      </c>
      <c r="S53" s="11">
        <v>33.0</v>
      </c>
      <c r="U53" s="11"/>
    </row>
    <row r="54">
      <c r="A54" s="8">
        <v>52.0</v>
      </c>
      <c r="B54" s="9" t="s">
        <v>441</v>
      </c>
      <c r="C54" s="10" t="s">
        <v>442</v>
      </c>
      <c r="D54" s="10">
        <v>4.0</v>
      </c>
      <c r="E54" s="10" t="s">
        <v>281</v>
      </c>
      <c r="F54" s="10">
        <v>32.17</v>
      </c>
      <c r="G54" s="1"/>
      <c r="H54" s="9" t="s">
        <v>441</v>
      </c>
      <c r="I54" s="9">
        <v>25.43813</v>
      </c>
      <c r="J54" s="9">
        <v>81.8338</v>
      </c>
      <c r="K54" s="9">
        <v>25.657911</v>
      </c>
      <c r="L54" s="9">
        <v>82.190298</v>
      </c>
      <c r="M54" s="9">
        <v>28.1</v>
      </c>
      <c r="N54" s="60"/>
      <c r="O54" s="11" t="s">
        <v>441</v>
      </c>
      <c r="P54" s="49"/>
      <c r="Q54" s="11" t="s">
        <v>443</v>
      </c>
      <c r="R54" s="11" t="s">
        <v>444</v>
      </c>
      <c r="S54" s="11">
        <v>28.1</v>
      </c>
      <c r="U54" s="11"/>
    </row>
    <row r="55">
      <c r="A55" s="8">
        <v>53.0</v>
      </c>
      <c r="B55" s="9" t="s">
        <v>445</v>
      </c>
      <c r="C55" s="10" t="s">
        <v>446</v>
      </c>
      <c r="D55" s="10">
        <v>4.0</v>
      </c>
      <c r="E55" s="10" t="s">
        <v>281</v>
      </c>
      <c r="F55" s="10">
        <v>53.95</v>
      </c>
      <c r="G55" s="1"/>
      <c r="H55" s="9" t="s">
        <v>445</v>
      </c>
      <c r="I55" s="9">
        <v>29.001856</v>
      </c>
      <c r="J55" s="9">
        <v>77.767967</v>
      </c>
      <c r="K55" s="14"/>
      <c r="L55" s="14"/>
      <c r="M55" s="9">
        <v>118.0</v>
      </c>
      <c r="N55" s="60"/>
      <c r="O55" s="11" t="s">
        <v>445</v>
      </c>
      <c r="P55" s="49"/>
      <c r="Q55" s="11" t="s">
        <v>447</v>
      </c>
      <c r="R55" s="11" t="s">
        <v>448</v>
      </c>
      <c r="S55" s="11">
        <v>118.0</v>
      </c>
      <c r="U55" s="11"/>
    </row>
    <row r="56">
      <c r="A56" s="21">
        <v>54.0</v>
      </c>
      <c r="B56" s="9" t="s">
        <v>417</v>
      </c>
      <c r="C56" s="10" t="s">
        <v>449</v>
      </c>
      <c r="D56" s="10">
        <v>2.0</v>
      </c>
      <c r="E56" s="10" t="s">
        <v>281</v>
      </c>
      <c r="F56" s="10">
        <v>133.28</v>
      </c>
      <c r="G56" s="1"/>
      <c r="H56" s="9" t="s">
        <v>417</v>
      </c>
      <c r="I56" s="9">
        <v>26.208677</v>
      </c>
      <c r="J56" s="9">
        <v>81.21863</v>
      </c>
      <c r="K56" s="9">
        <v>25.617015</v>
      </c>
      <c r="L56" s="9">
        <v>80.524975</v>
      </c>
      <c r="M56" s="9">
        <v>136.0</v>
      </c>
      <c r="N56" s="60"/>
      <c r="O56" s="11" t="s">
        <v>417</v>
      </c>
      <c r="P56" s="49"/>
      <c r="Q56" s="11" t="s">
        <v>450</v>
      </c>
      <c r="R56" s="11" t="s">
        <v>451</v>
      </c>
      <c r="S56" s="11">
        <v>136.0</v>
      </c>
      <c r="U56" s="11"/>
    </row>
    <row r="57">
      <c r="A57" s="8">
        <v>55.0</v>
      </c>
      <c r="B57" s="9" t="s">
        <v>40</v>
      </c>
      <c r="C57" s="10" t="s">
        <v>452</v>
      </c>
      <c r="D57" s="10">
        <v>2.0</v>
      </c>
      <c r="E57" s="10" t="s">
        <v>281</v>
      </c>
      <c r="F57" s="10">
        <v>65.87</v>
      </c>
      <c r="G57" s="1"/>
      <c r="H57" s="9" t="s">
        <v>40</v>
      </c>
      <c r="I57" s="9">
        <v>26.463707</v>
      </c>
      <c r="J57" s="9">
        <v>80.246719</v>
      </c>
      <c r="K57" s="9">
        <v>26.957161</v>
      </c>
      <c r="L57" s="9">
        <v>82.862116</v>
      </c>
      <c r="M57" s="9">
        <v>79.0</v>
      </c>
      <c r="N57" s="60"/>
      <c r="O57" s="11" t="s">
        <v>40</v>
      </c>
      <c r="P57" s="49"/>
      <c r="Q57" s="11" t="s">
        <v>453</v>
      </c>
      <c r="R57" s="11" t="s">
        <v>454</v>
      </c>
      <c r="S57" s="11">
        <v>79.0</v>
      </c>
      <c r="U57" s="11"/>
    </row>
    <row r="58">
      <c r="A58" s="8">
        <v>56.0</v>
      </c>
      <c r="B58" s="14"/>
      <c r="C58" s="10" t="s">
        <v>455</v>
      </c>
      <c r="D58" s="10">
        <v>4.0</v>
      </c>
      <c r="E58" s="10" t="s">
        <v>281</v>
      </c>
      <c r="F58" s="10">
        <v>42.87</v>
      </c>
      <c r="G58" s="1"/>
      <c r="H58" s="14"/>
      <c r="I58" s="9">
        <v>29.481151</v>
      </c>
      <c r="J58" s="9">
        <v>77.290134</v>
      </c>
      <c r="K58" s="9">
        <v>29.382152</v>
      </c>
      <c r="L58" s="9">
        <v>77.800136</v>
      </c>
      <c r="M58" s="9">
        <v>39.7</v>
      </c>
      <c r="N58" s="60"/>
      <c r="O58" s="17"/>
      <c r="P58" s="64"/>
      <c r="Q58" s="66" t="s">
        <v>456</v>
      </c>
      <c r="R58" s="49" t="s">
        <v>457</v>
      </c>
      <c r="S58" s="11">
        <v>39.7</v>
      </c>
      <c r="U58" s="11"/>
    </row>
    <row r="59">
      <c r="A59" s="21">
        <v>57.0</v>
      </c>
      <c r="B59" s="14"/>
      <c r="C59" s="10" t="s">
        <v>458</v>
      </c>
      <c r="D59" s="10">
        <v>6.0</v>
      </c>
      <c r="E59" s="10" t="s">
        <v>281</v>
      </c>
      <c r="F59" s="10">
        <v>179.5</v>
      </c>
      <c r="G59" s="1"/>
      <c r="H59" s="14"/>
      <c r="I59" s="9">
        <v>28.783393</v>
      </c>
      <c r="J59" s="9">
        <v>77.427237</v>
      </c>
      <c r="K59" s="14"/>
      <c r="L59" s="14"/>
      <c r="M59" s="9">
        <v>209.0</v>
      </c>
      <c r="N59" s="60"/>
      <c r="O59" s="17"/>
      <c r="P59" s="49"/>
      <c r="Q59" s="49" t="s">
        <v>459</v>
      </c>
      <c r="R59" s="49" t="s">
        <v>460</v>
      </c>
      <c r="S59" s="11">
        <v>209.0</v>
      </c>
      <c r="U59" s="11"/>
    </row>
    <row r="60">
      <c r="A60" s="8">
        <v>58.0</v>
      </c>
      <c r="B60" s="14"/>
      <c r="C60" s="10" t="s">
        <v>461</v>
      </c>
      <c r="D60" s="10">
        <v>4.0</v>
      </c>
      <c r="E60" s="10" t="s">
        <v>281</v>
      </c>
      <c r="F60" s="10">
        <v>65.38</v>
      </c>
      <c r="G60" s="1"/>
      <c r="H60" s="14"/>
      <c r="I60" s="9">
        <v>26.746818</v>
      </c>
      <c r="J60" s="9">
        <v>83.375133</v>
      </c>
      <c r="K60" s="14"/>
      <c r="L60" s="14"/>
      <c r="M60" s="9">
        <v>68.0</v>
      </c>
      <c r="N60" s="60"/>
      <c r="O60" s="17"/>
      <c r="P60" s="49"/>
      <c r="Q60" s="49" t="s">
        <v>462</v>
      </c>
      <c r="R60" s="49" t="s">
        <v>463</v>
      </c>
      <c r="S60" s="11">
        <v>68.0</v>
      </c>
      <c r="U60" s="11"/>
    </row>
    <row r="61">
      <c r="A61" s="8">
        <v>59.0</v>
      </c>
      <c r="B61" s="14"/>
      <c r="C61" s="10" t="s">
        <v>464</v>
      </c>
      <c r="D61" s="10">
        <v>4.0</v>
      </c>
      <c r="E61" s="10" t="s">
        <v>281</v>
      </c>
      <c r="F61" s="10">
        <v>34.0</v>
      </c>
      <c r="G61" s="1"/>
      <c r="H61" s="14"/>
      <c r="I61" s="14">
        <v>25.335649</v>
      </c>
      <c r="J61" s="14">
        <v>83.007629</v>
      </c>
      <c r="K61" s="14"/>
      <c r="L61" s="14"/>
      <c r="M61" s="9">
        <v>40.0</v>
      </c>
      <c r="O61" s="17"/>
      <c r="P61" s="49"/>
      <c r="Q61" s="49" t="s">
        <v>465</v>
      </c>
      <c r="R61" s="49" t="s">
        <v>466</v>
      </c>
      <c r="S61" s="11">
        <v>40.0</v>
      </c>
      <c r="U61" s="11"/>
    </row>
    <row r="62">
      <c r="D62" s="4"/>
      <c r="F62" s="44">
        <f>SUM(F3:F61)</f>
        <v>4356.267</v>
      </c>
      <c r="G62" s="1"/>
      <c r="S62" s="44">
        <f>SUM(S2:S61)</f>
        <v>5183.9</v>
      </c>
    </row>
    <row r="63">
      <c r="D63" s="4"/>
      <c r="G63" s="1"/>
    </row>
    <row r="64">
      <c r="D64" s="4"/>
      <c r="G64" s="1"/>
    </row>
    <row r="65">
      <c r="D65" s="4"/>
      <c r="G65" s="1"/>
    </row>
    <row r="66">
      <c r="D66" s="4"/>
      <c r="G66" s="1"/>
    </row>
    <row r="67">
      <c r="D67" s="4"/>
      <c r="G67" s="1"/>
    </row>
    <row r="68">
      <c r="D68" s="4"/>
      <c r="G68" s="1"/>
      <c r="K68" s="44">
        <f>sum(S62-F62)</f>
        <v>827.633</v>
      </c>
    </row>
    <row r="69">
      <c r="D69" s="4"/>
      <c r="G69" s="1"/>
    </row>
    <row r="70">
      <c r="D70" s="4"/>
      <c r="G70" s="1"/>
      <c r="L70" s="43">
        <v>827.633</v>
      </c>
    </row>
    <row r="71">
      <c r="D71" s="4"/>
      <c r="G71" s="1"/>
    </row>
    <row r="72">
      <c r="D72" s="4"/>
      <c r="G72" s="1"/>
    </row>
    <row r="73">
      <c r="D73" s="4"/>
      <c r="G73" s="1"/>
    </row>
    <row r="74">
      <c r="D74" s="4"/>
      <c r="G74" s="1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</sheetData>
  <mergeCells count="3">
    <mergeCell ref="C1:F1"/>
    <mergeCell ref="H1:M1"/>
    <mergeCell ref="O1:S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16.13"/>
    <col customWidth="1" min="13" max="13" width="35.13"/>
    <col customWidth="1" min="16" max="16" width="16.5"/>
    <col customWidth="1" min="17" max="18" width="19.13"/>
    <col customWidth="1" min="19" max="19" width="41.63"/>
  </cols>
  <sheetData>
    <row r="1">
      <c r="A1" s="1"/>
      <c r="B1" s="1"/>
      <c r="C1" s="6" t="s">
        <v>0</v>
      </c>
      <c r="G1" s="1"/>
      <c r="H1" s="3" t="s">
        <v>1</v>
      </c>
      <c r="N1" s="4"/>
      <c r="O1" s="5" t="s">
        <v>2</v>
      </c>
      <c r="T1" s="4"/>
      <c r="U1" s="4"/>
      <c r="V1" s="4"/>
      <c r="W1" s="4"/>
      <c r="X1" s="4"/>
      <c r="Y1" s="4"/>
      <c r="Z1" s="4"/>
    </row>
    <row r="2">
      <c r="A2" s="1" t="s">
        <v>3</v>
      </c>
      <c r="B2" s="3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1"/>
      <c r="H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4"/>
      <c r="O2" s="5" t="s">
        <v>4</v>
      </c>
      <c r="P2" s="5" t="s">
        <v>14</v>
      </c>
      <c r="Q2" s="5" t="s">
        <v>15</v>
      </c>
      <c r="R2" s="5" t="s">
        <v>16</v>
      </c>
      <c r="S2" s="5" t="s">
        <v>17</v>
      </c>
      <c r="T2" s="4"/>
      <c r="U2" s="4"/>
      <c r="V2" s="4"/>
      <c r="W2" s="4"/>
      <c r="X2" s="4"/>
      <c r="Y2" s="4"/>
      <c r="Z2" s="4"/>
    </row>
    <row r="3">
      <c r="A3" s="41">
        <v>1.0</v>
      </c>
      <c r="B3" s="9" t="s">
        <v>467</v>
      </c>
      <c r="C3" s="10" t="s">
        <v>468</v>
      </c>
      <c r="D3" s="10">
        <v>6.0</v>
      </c>
      <c r="E3" s="10" t="s">
        <v>469</v>
      </c>
      <c r="F3" s="10">
        <v>111.4</v>
      </c>
      <c r="G3" s="8"/>
      <c r="H3" s="9" t="s">
        <v>467</v>
      </c>
      <c r="I3" s="14"/>
      <c r="J3" s="14"/>
      <c r="K3" s="9">
        <v>22.34309</v>
      </c>
      <c r="L3" s="9">
        <v>87.301288</v>
      </c>
      <c r="M3" s="9"/>
      <c r="N3" s="8"/>
      <c r="O3" s="11" t="s">
        <v>467</v>
      </c>
      <c r="P3" s="11" t="s">
        <v>204</v>
      </c>
      <c r="Q3" s="11" t="s">
        <v>470</v>
      </c>
      <c r="R3" s="11" t="s">
        <v>471</v>
      </c>
      <c r="S3" s="11">
        <v>124.0</v>
      </c>
      <c r="T3" s="4"/>
      <c r="U3" s="4"/>
      <c r="V3" s="4"/>
      <c r="W3" s="4"/>
      <c r="X3" s="4"/>
      <c r="Y3" s="4"/>
      <c r="Z3" s="4"/>
    </row>
    <row r="4">
      <c r="A4" s="41">
        <v>2.0</v>
      </c>
      <c r="B4" s="14"/>
      <c r="C4" s="10" t="s">
        <v>472</v>
      </c>
      <c r="D4" s="10">
        <v>4.0</v>
      </c>
      <c r="E4" s="10" t="s">
        <v>469</v>
      </c>
      <c r="F4" s="10">
        <v>119.3</v>
      </c>
      <c r="G4" s="8"/>
      <c r="H4" s="14"/>
      <c r="I4" s="14"/>
      <c r="J4" s="14"/>
      <c r="K4" s="9">
        <v>22.34309</v>
      </c>
      <c r="L4" s="9">
        <v>87.301288</v>
      </c>
      <c r="M4" s="9"/>
      <c r="N4" s="8"/>
      <c r="O4" s="17"/>
      <c r="P4" s="11" t="s">
        <v>204</v>
      </c>
      <c r="Q4" s="11" t="s">
        <v>473</v>
      </c>
      <c r="R4" s="11" t="s">
        <v>474</v>
      </c>
      <c r="S4" s="11">
        <v>119.0</v>
      </c>
      <c r="T4" s="4"/>
      <c r="U4" s="4"/>
      <c r="V4" s="4"/>
      <c r="W4" s="4"/>
      <c r="X4" s="4"/>
      <c r="Y4" s="4"/>
      <c r="Z4" s="4"/>
    </row>
    <row r="5">
      <c r="A5" s="41">
        <v>3.0</v>
      </c>
      <c r="B5" s="14"/>
      <c r="C5" s="10" t="s">
        <v>475</v>
      </c>
      <c r="D5" s="10">
        <v>4.0</v>
      </c>
      <c r="E5" s="10" t="s">
        <v>469</v>
      </c>
      <c r="F5" s="10">
        <v>65.0</v>
      </c>
      <c r="G5" s="8"/>
      <c r="H5" s="14"/>
      <c r="I5" s="9">
        <v>23.196377</v>
      </c>
      <c r="J5" s="9">
        <v>88.00314</v>
      </c>
      <c r="K5" s="9">
        <v>23.443013</v>
      </c>
      <c r="L5" s="9">
        <v>87.458683</v>
      </c>
      <c r="M5" s="9"/>
      <c r="N5" s="8"/>
      <c r="O5" s="17"/>
      <c r="P5" s="11" t="s">
        <v>138</v>
      </c>
      <c r="Q5" s="11" t="s">
        <v>476</v>
      </c>
      <c r="R5" s="11" t="s">
        <v>477</v>
      </c>
      <c r="S5" s="11">
        <v>63.0</v>
      </c>
      <c r="T5" s="4"/>
      <c r="U5" s="4"/>
      <c r="V5" s="4"/>
      <c r="W5" s="4"/>
      <c r="X5" s="4"/>
      <c r="Y5" s="4"/>
      <c r="Z5" s="4"/>
    </row>
    <row r="6">
      <c r="A6" s="41">
        <v>4.0</v>
      </c>
      <c r="B6" s="9" t="s">
        <v>135</v>
      </c>
      <c r="C6" s="10" t="s">
        <v>478</v>
      </c>
      <c r="D6" s="10">
        <v>4.0</v>
      </c>
      <c r="E6" s="10" t="s">
        <v>469</v>
      </c>
      <c r="F6" s="10">
        <v>64.54</v>
      </c>
      <c r="G6" s="8"/>
      <c r="H6" s="9" t="s">
        <v>135</v>
      </c>
      <c r="I6" s="9">
        <v>23.196377</v>
      </c>
      <c r="J6" s="9">
        <v>88.00314</v>
      </c>
      <c r="K6" s="14"/>
      <c r="L6" s="14"/>
      <c r="M6" s="9"/>
      <c r="N6" s="8"/>
      <c r="O6" s="11" t="s">
        <v>135</v>
      </c>
      <c r="P6" s="11" t="s">
        <v>284</v>
      </c>
      <c r="Q6" s="11" t="s">
        <v>476</v>
      </c>
      <c r="R6" s="11" t="s">
        <v>479</v>
      </c>
      <c r="S6" s="11">
        <v>74.3</v>
      </c>
      <c r="T6" s="4"/>
      <c r="U6" s="4"/>
      <c r="V6" s="4"/>
      <c r="W6" s="4"/>
      <c r="X6" s="4"/>
      <c r="Y6" s="4"/>
      <c r="Z6" s="4"/>
    </row>
    <row r="7">
      <c r="A7" s="41">
        <v>5.0</v>
      </c>
      <c r="B7" s="14"/>
      <c r="C7" s="10" t="s">
        <v>480</v>
      </c>
      <c r="D7" s="10">
        <v>4.0</v>
      </c>
      <c r="E7" s="10" t="s">
        <v>469</v>
      </c>
      <c r="F7" s="10">
        <v>61.6</v>
      </c>
      <c r="G7" s="8"/>
      <c r="H7" s="14"/>
      <c r="I7" s="9">
        <v>25.873962</v>
      </c>
      <c r="J7" s="9">
        <v>87.839125</v>
      </c>
      <c r="K7" s="14"/>
      <c r="L7" s="14"/>
      <c r="M7" s="9"/>
      <c r="N7" s="8"/>
      <c r="O7" s="17"/>
      <c r="P7" s="11" t="s">
        <v>481</v>
      </c>
      <c r="Q7" s="11" t="s">
        <v>482</v>
      </c>
      <c r="R7" s="11" t="s">
        <v>483</v>
      </c>
      <c r="S7" s="11">
        <v>62.0</v>
      </c>
      <c r="T7" s="4"/>
      <c r="U7" s="4"/>
      <c r="V7" s="4"/>
      <c r="W7" s="4"/>
      <c r="X7" s="4"/>
      <c r="Y7" s="4"/>
      <c r="Z7" s="4"/>
    </row>
    <row r="8">
      <c r="A8" s="41">
        <v>6.0</v>
      </c>
      <c r="B8" s="14"/>
      <c r="C8" s="10" t="s">
        <v>484</v>
      </c>
      <c r="D8" s="10">
        <v>4.0</v>
      </c>
      <c r="E8" s="10" t="s">
        <v>469</v>
      </c>
      <c r="F8" s="10">
        <v>70.7</v>
      </c>
      <c r="G8" s="8"/>
      <c r="H8" s="14"/>
      <c r="I8" s="9">
        <v>26.716413</v>
      </c>
      <c r="J8" s="9">
        <v>88.430992</v>
      </c>
      <c r="K8" s="9">
        <v>22.592056</v>
      </c>
      <c r="L8" s="9">
        <v>88.418822</v>
      </c>
      <c r="M8" s="9"/>
      <c r="N8" s="8"/>
      <c r="O8" s="17"/>
      <c r="P8" s="11" t="s">
        <v>481</v>
      </c>
      <c r="Q8" s="11" t="s">
        <v>485</v>
      </c>
      <c r="R8" s="11" t="s">
        <v>483</v>
      </c>
      <c r="S8" s="11">
        <v>74.0</v>
      </c>
      <c r="T8" s="4"/>
      <c r="U8" s="4"/>
      <c r="V8" s="4"/>
      <c r="W8" s="4"/>
      <c r="X8" s="4"/>
      <c r="Y8" s="4"/>
      <c r="Z8" s="4"/>
    </row>
    <row r="9">
      <c r="A9" s="41">
        <v>7.0</v>
      </c>
      <c r="B9" s="9" t="s">
        <v>486</v>
      </c>
      <c r="C9" s="10" t="s">
        <v>487</v>
      </c>
      <c r="D9" s="10">
        <v>4.0</v>
      </c>
      <c r="E9" s="10" t="s">
        <v>469</v>
      </c>
      <c r="F9" s="10">
        <v>96.28</v>
      </c>
      <c r="G9" s="8"/>
      <c r="H9" s="9" t="s">
        <v>486</v>
      </c>
      <c r="I9" s="14"/>
      <c r="J9" s="14"/>
      <c r="K9" s="9">
        <v>26.595289</v>
      </c>
      <c r="L9" s="9">
        <v>88.286225</v>
      </c>
      <c r="M9" s="14"/>
      <c r="N9" s="8"/>
      <c r="O9" s="11" t="s">
        <v>486</v>
      </c>
      <c r="P9" s="11" t="s">
        <v>481</v>
      </c>
      <c r="Q9" s="11" t="s">
        <v>488</v>
      </c>
      <c r="R9" s="11" t="s">
        <v>489</v>
      </c>
      <c r="S9" s="11">
        <v>96.28</v>
      </c>
      <c r="T9" s="4"/>
      <c r="U9" s="4"/>
      <c r="V9" s="4"/>
      <c r="W9" s="4"/>
      <c r="X9" s="4"/>
      <c r="Y9" s="4"/>
      <c r="Z9" s="4"/>
    </row>
    <row r="10">
      <c r="A10" s="41">
        <v>8.0</v>
      </c>
      <c r="B10" s="14"/>
      <c r="C10" s="10" t="s">
        <v>490</v>
      </c>
      <c r="D10" s="10">
        <v>4.0</v>
      </c>
      <c r="E10" s="10" t="s">
        <v>469</v>
      </c>
      <c r="F10" s="10">
        <v>27.0</v>
      </c>
      <c r="G10" s="8"/>
      <c r="H10" s="14"/>
      <c r="I10" s="14"/>
      <c r="J10" s="14"/>
      <c r="K10" s="14"/>
      <c r="L10" s="14"/>
      <c r="M10" s="9"/>
      <c r="N10" s="15"/>
      <c r="O10" s="17"/>
      <c r="P10" s="11" t="s">
        <v>481</v>
      </c>
      <c r="Q10" s="11" t="s">
        <v>491</v>
      </c>
      <c r="R10" s="11" t="s">
        <v>492</v>
      </c>
      <c r="S10" s="11">
        <v>37.0</v>
      </c>
      <c r="T10" s="4"/>
      <c r="U10" s="4"/>
      <c r="V10" s="4"/>
      <c r="W10" s="4"/>
      <c r="X10" s="4"/>
      <c r="Y10" s="4"/>
      <c r="Z10" s="4"/>
    </row>
    <row r="11">
      <c r="A11" s="41">
        <v>9.0</v>
      </c>
      <c r="B11" s="9" t="s">
        <v>196</v>
      </c>
      <c r="C11" s="10" t="s">
        <v>493</v>
      </c>
      <c r="D11" s="10">
        <v>4.0</v>
      </c>
      <c r="E11" s="10" t="s">
        <v>469</v>
      </c>
      <c r="F11" s="10">
        <v>55.55</v>
      </c>
      <c r="G11" s="8"/>
      <c r="H11" s="9" t="s">
        <v>196</v>
      </c>
      <c r="I11" s="9">
        <v>22.311758</v>
      </c>
      <c r="J11" s="9">
        <v>86.883144</v>
      </c>
      <c r="K11" s="14"/>
      <c r="L11" s="14"/>
      <c r="M11" s="9"/>
      <c r="N11" s="8"/>
      <c r="O11" s="11" t="s">
        <v>196</v>
      </c>
      <c r="P11" s="11" t="s">
        <v>212</v>
      </c>
      <c r="Q11" s="11" t="s">
        <v>494</v>
      </c>
      <c r="R11" s="11" t="s">
        <v>495</v>
      </c>
      <c r="S11" s="11">
        <v>44.0</v>
      </c>
      <c r="T11" s="4"/>
      <c r="U11" s="4"/>
      <c r="V11" s="4"/>
      <c r="W11" s="4"/>
      <c r="X11" s="4"/>
      <c r="Y11" s="4"/>
      <c r="Z11" s="4"/>
    </row>
    <row r="12">
      <c r="A12" s="41">
        <v>10.0</v>
      </c>
      <c r="B12" s="14"/>
      <c r="C12" s="10" t="s">
        <v>496</v>
      </c>
      <c r="D12" s="10">
        <v>4.0</v>
      </c>
      <c r="E12" s="10" t="s">
        <v>469</v>
      </c>
      <c r="F12" s="10">
        <v>53.0</v>
      </c>
      <c r="G12" s="8"/>
      <c r="H12" s="14"/>
      <c r="I12" s="9">
        <v>22.440431</v>
      </c>
      <c r="J12" s="9">
        <v>87.819157</v>
      </c>
      <c r="K12" s="9">
        <v>22.028124</v>
      </c>
      <c r="L12" s="9">
        <v>88.063265</v>
      </c>
      <c r="M12" s="9"/>
      <c r="N12" s="8"/>
      <c r="O12" s="17"/>
      <c r="P12" s="11" t="s">
        <v>497</v>
      </c>
      <c r="Q12" s="11" t="s">
        <v>498</v>
      </c>
      <c r="R12" s="11" t="s">
        <v>499</v>
      </c>
      <c r="S12" s="11">
        <v>55.0</v>
      </c>
      <c r="T12" s="4"/>
      <c r="U12" s="4"/>
      <c r="V12" s="4"/>
      <c r="W12" s="4"/>
      <c r="X12" s="4"/>
      <c r="Y12" s="4"/>
      <c r="Z12" s="4"/>
    </row>
    <row r="13">
      <c r="A13" s="41">
        <v>11.0</v>
      </c>
      <c r="B13" s="9" t="s">
        <v>500</v>
      </c>
      <c r="C13" s="10" t="s">
        <v>501</v>
      </c>
      <c r="D13" s="10">
        <v>4.0</v>
      </c>
      <c r="E13" s="10" t="s">
        <v>469</v>
      </c>
      <c r="F13" s="10">
        <v>100.2</v>
      </c>
      <c r="G13" s="8"/>
      <c r="H13" s="9" t="s">
        <v>500</v>
      </c>
      <c r="I13" s="14"/>
      <c r="J13" s="14"/>
      <c r="K13" s="14"/>
      <c r="L13" s="14"/>
      <c r="M13" s="9"/>
      <c r="N13" s="40"/>
      <c r="O13" s="11" t="s">
        <v>500</v>
      </c>
      <c r="P13" s="11" t="s">
        <v>502</v>
      </c>
      <c r="Q13" s="11" t="s">
        <v>503</v>
      </c>
      <c r="R13" s="11" t="s">
        <v>504</v>
      </c>
      <c r="S13" s="11">
        <v>112.0</v>
      </c>
      <c r="T13" s="4"/>
      <c r="U13" s="4"/>
      <c r="V13" s="4"/>
      <c r="W13" s="4"/>
      <c r="X13" s="4"/>
      <c r="Y13" s="4"/>
      <c r="Z13" s="4"/>
    </row>
    <row r="14">
      <c r="A14" s="41">
        <v>12.0</v>
      </c>
      <c r="B14" s="14"/>
      <c r="C14" s="10" t="s">
        <v>505</v>
      </c>
      <c r="D14" s="10">
        <v>4.0</v>
      </c>
      <c r="E14" s="10" t="s">
        <v>469</v>
      </c>
      <c r="F14" s="10">
        <v>50.29</v>
      </c>
      <c r="G14" s="8"/>
      <c r="H14" s="14"/>
      <c r="I14" s="14"/>
      <c r="J14" s="14"/>
      <c r="K14" s="14"/>
      <c r="L14" s="14"/>
      <c r="M14" s="9"/>
      <c r="N14" s="40"/>
      <c r="O14" s="17"/>
      <c r="P14" s="11" t="s">
        <v>502</v>
      </c>
      <c r="Q14" s="11" t="s">
        <v>506</v>
      </c>
      <c r="R14" s="11" t="s">
        <v>507</v>
      </c>
      <c r="S14" s="11">
        <v>45.0</v>
      </c>
      <c r="T14" s="4"/>
      <c r="U14" s="4"/>
      <c r="V14" s="4"/>
      <c r="W14" s="4"/>
      <c r="X14" s="4"/>
      <c r="Y14" s="4"/>
      <c r="Z14" s="4"/>
    </row>
    <row r="15">
      <c r="A15" s="41">
        <v>13.0</v>
      </c>
      <c r="B15" s="9" t="s">
        <v>500</v>
      </c>
      <c r="C15" s="10" t="s">
        <v>508</v>
      </c>
      <c r="D15" s="10">
        <v>4.0</v>
      </c>
      <c r="E15" s="10" t="s">
        <v>469</v>
      </c>
      <c r="F15" s="10">
        <v>100.6</v>
      </c>
      <c r="G15" s="8"/>
      <c r="H15" s="9" t="s">
        <v>500</v>
      </c>
      <c r="I15" s="14"/>
      <c r="J15" s="14"/>
      <c r="K15" s="9">
        <v>24.786898</v>
      </c>
      <c r="L15" s="9">
        <v>87.909906</v>
      </c>
      <c r="M15" s="9"/>
      <c r="N15" s="8"/>
      <c r="O15" s="11" t="s">
        <v>500</v>
      </c>
      <c r="P15" s="11" t="s">
        <v>502</v>
      </c>
      <c r="Q15" s="11" t="s">
        <v>509</v>
      </c>
      <c r="R15" s="11" t="s">
        <v>510</v>
      </c>
      <c r="S15" s="11">
        <v>94.0</v>
      </c>
      <c r="T15" s="4"/>
      <c r="U15" s="4"/>
      <c r="V15" s="4"/>
      <c r="W15" s="4"/>
      <c r="X15" s="4"/>
      <c r="Y15" s="4"/>
      <c r="Z15" s="4"/>
    </row>
    <row r="16">
      <c r="A16" s="41">
        <v>14.0</v>
      </c>
      <c r="B16" s="9" t="s">
        <v>511</v>
      </c>
      <c r="C16" s="10" t="s">
        <v>512</v>
      </c>
      <c r="D16" s="10">
        <v>4.0</v>
      </c>
      <c r="E16" s="10" t="s">
        <v>469</v>
      </c>
      <c r="F16" s="10">
        <v>83.78</v>
      </c>
      <c r="G16" s="8"/>
      <c r="H16" s="9" t="s">
        <v>511</v>
      </c>
      <c r="I16" s="9">
        <v>26.645754</v>
      </c>
      <c r="J16" s="9">
        <v>88.405009</v>
      </c>
      <c r="K16" s="9">
        <v>26.588905</v>
      </c>
      <c r="L16" s="9">
        <v>89.006972</v>
      </c>
      <c r="M16" s="9"/>
      <c r="N16" s="8"/>
      <c r="O16" s="11" t="s">
        <v>511</v>
      </c>
      <c r="P16" s="11" t="s">
        <v>481</v>
      </c>
      <c r="Q16" s="11" t="s">
        <v>513</v>
      </c>
      <c r="R16" s="11" t="s">
        <v>514</v>
      </c>
      <c r="S16" s="11">
        <v>83.0</v>
      </c>
      <c r="T16" s="4"/>
      <c r="U16" s="4"/>
      <c r="V16" s="4"/>
      <c r="W16" s="4"/>
      <c r="X16" s="4"/>
      <c r="Y16" s="4"/>
      <c r="Z16" s="4"/>
    </row>
    <row r="17">
      <c r="A17" s="41">
        <v>15.0</v>
      </c>
      <c r="B17" s="9" t="s">
        <v>18</v>
      </c>
      <c r="C17" s="10" t="s">
        <v>515</v>
      </c>
      <c r="D17" s="10">
        <v>4.0</v>
      </c>
      <c r="E17" s="10" t="s">
        <v>469</v>
      </c>
      <c r="F17" s="10">
        <v>10.31</v>
      </c>
      <c r="G17" s="8"/>
      <c r="H17" s="9" t="s">
        <v>18</v>
      </c>
      <c r="I17" s="14"/>
      <c r="J17" s="14"/>
      <c r="K17" s="14"/>
      <c r="L17" s="14"/>
      <c r="M17" s="9"/>
      <c r="N17" s="8"/>
      <c r="O17" s="11" t="s">
        <v>18</v>
      </c>
      <c r="P17" s="11" t="s">
        <v>481</v>
      </c>
      <c r="Q17" s="13" t="s">
        <v>516</v>
      </c>
      <c r="R17" s="11" t="s">
        <v>517</v>
      </c>
      <c r="S17" s="11">
        <v>10.0</v>
      </c>
      <c r="T17" s="4"/>
      <c r="U17" s="4"/>
      <c r="V17" s="4"/>
      <c r="W17" s="4"/>
      <c r="X17" s="4"/>
      <c r="Y17" s="4"/>
      <c r="Z17" s="4"/>
    </row>
    <row r="18">
      <c r="A18" s="41">
        <v>16.0</v>
      </c>
      <c r="B18" s="9" t="s">
        <v>500</v>
      </c>
      <c r="C18" s="10" t="s">
        <v>518</v>
      </c>
      <c r="D18" s="10">
        <v>4.0</v>
      </c>
      <c r="E18" s="10" t="s">
        <v>469</v>
      </c>
      <c r="F18" s="10">
        <v>78.0</v>
      </c>
      <c r="G18" s="8"/>
      <c r="H18" s="9" t="s">
        <v>500</v>
      </c>
      <c r="I18" s="9">
        <v>22.189484</v>
      </c>
      <c r="J18" s="9">
        <v>88.695512</v>
      </c>
      <c r="K18" s="9">
        <v>24.104493</v>
      </c>
      <c r="L18" s="9">
        <v>88.251064</v>
      </c>
      <c r="M18" s="9"/>
      <c r="N18" s="40"/>
      <c r="O18" s="11" t="s">
        <v>500</v>
      </c>
      <c r="P18" s="11" t="s">
        <v>502</v>
      </c>
      <c r="Q18" s="12" t="s">
        <v>519</v>
      </c>
      <c r="R18" s="12" t="s">
        <v>520</v>
      </c>
      <c r="S18" s="11">
        <v>89.0</v>
      </c>
      <c r="T18" s="4"/>
      <c r="U18" s="4"/>
      <c r="V18" s="4"/>
      <c r="W18" s="4"/>
      <c r="X18" s="4"/>
      <c r="Y18" s="4"/>
      <c r="Z18" s="4"/>
    </row>
    <row r="19">
      <c r="A19" s="41">
        <v>17.0</v>
      </c>
      <c r="B19" s="9" t="s">
        <v>21</v>
      </c>
      <c r="C19" s="10" t="s">
        <v>521</v>
      </c>
      <c r="D19" s="10">
        <v>4.0</v>
      </c>
      <c r="E19" s="10" t="s">
        <v>469</v>
      </c>
      <c r="F19" s="10">
        <v>26.5</v>
      </c>
      <c r="G19" s="8"/>
      <c r="H19" s="9" t="s">
        <v>21</v>
      </c>
      <c r="I19" s="14"/>
      <c r="J19" s="14"/>
      <c r="K19" s="14"/>
      <c r="L19" s="14"/>
      <c r="M19" s="9"/>
      <c r="N19" s="40"/>
      <c r="O19" s="11" t="s">
        <v>21</v>
      </c>
      <c r="P19" s="11" t="s">
        <v>22</v>
      </c>
      <c r="Q19" s="12" t="s">
        <v>522</v>
      </c>
      <c r="R19" s="12" t="s">
        <v>523</v>
      </c>
      <c r="S19" s="11">
        <v>58.0</v>
      </c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>
        <f>SUM(F2:F19)</f>
        <v>1174.05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f>SUM(S2:S19)</f>
        <v>1239.58</v>
      </c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>
        <f>sum(S20-F20)</f>
        <v>65.53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1">
        <v>65.53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C1:F1"/>
    <mergeCell ref="H1:M1"/>
    <mergeCell ref="O1:S1"/>
  </mergeCells>
  <drawing r:id="rId1"/>
</worksheet>
</file>